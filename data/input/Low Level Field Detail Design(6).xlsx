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FBCDC2F9-3417-498A-AD9F-9C1048427BB6}" xr6:coauthVersionLast="47" xr6:coauthVersionMax="47" xr10:uidLastSave="{00000000-0000-0000-0000-000000000000}"/>
  <bookViews>
    <workbookView xWindow="-120" yWindow="-120" windowWidth="20730" windowHeight="11040" activeTab="1"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Attributes!$A$1:$J$173</definedName>
    <definedName name="_xlnm._FilterDatabase" localSheetId="4" hidden="1">Channels!$A$1:$F$20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6" l="1"/>
  <c r="N8" i="6"/>
  <c r="N7" i="6"/>
  <c r="N6" i="6"/>
  <c r="N5" i="6"/>
  <c r="N4" i="6"/>
  <c r="N3" i="6"/>
  <c r="N2" i="6"/>
  <c r="G19" i="1"/>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tc={0AF79B6B-4424-47BE-A6D1-44B67BFA5C1D}</author>
    <author>tc={743A8CEB-662A-4266-9865-AE4208BB8853}</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104"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 ref="C107" authorId="7" shapeId="0" xr:uid="{0AF79B6B-4424-47BE-A6D1-44B67BFA5C1D}">
      <text>
        <t>[Threaded comment]
Your version of Excel allows you to read this threaded comment; however, any edits to it will get removed if the file is opened in a newer version of Excel. Learn more: https://go.microsoft.com/fwlink/?linkid=870924
Comment:
    @David Irvine 
hope its Marketing Asset - bulletin etc
Reply:
    Updated</t>
      </text>
    </comment>
    <comment ref="C111" authorId="8" shapeId="0" xr:uid="{743A8CEB-662A-4266-9865-AE4208BB8853}">
      <text>
        <t>[Threaded comment]
Your version of Excel allows you to read this threaded comment; however, any edits to it will get removed if the file is opened in a newer version of Excel. Learn more: https://go.microsoft.com/fwlink/?linkid=870924
Comment:
    @David Irvine 
need some example please . Audience will be part of contact(person) or company (customer)
Reply:
    See the audience table and description given lower in this table and in the higher level object definitions.</t>
      </text>
    </comment>
  </commentList>
</comments>
</file>

<file path=xl/sharedStrings.xml><?xml version="1.0" encoding="utf-8"?>
<sst xmlns="http://schemas.openxmlformats.org/spreadsheetml/2006/main" count="1228" uniqueCount="745">
  <si>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</si>
  <si>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</si>
  <si>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</si>
  <si>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</si>
  <si>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</si>
  <si>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</si>
  <si>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</si>
  <si>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</si>
  <si>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</si>
  <si>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</si>
  <si>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</si>
  <si>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</si>
  <si>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</si>
  <si>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</si>
  <si>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</si>
  <si>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</si>
  <si>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</si>
  <si>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</si>
  <si>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</si>
  <si>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</si>
  <si>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</si>
  <si>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</si>
  <si>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Derived or 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</si>
  <si>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</si>
  <si>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</si>
  <si>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</si>
  <si>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</si>
  <si>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</si>
  <si>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</si>
  <si>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</si>
  <si>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</si>
  <si>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</si>
  <si>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</si>
  <si>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</si>
  <si>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</si>
  <si>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</si>
  <si>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</si>
  <si>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</si>
  <si>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</si>
  <si>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</si>
  <si>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</si>
  <si>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</si>
  <si>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Push Activity</t>
  </si>
  <si>
    <t>Outbound, proactive, targeted distribution of marketing assets (e.g., emails, calls, direct mail).</t>
  </si>
  <si>
    <t>This Identifies the actions that BT Carries out and is ultimately the most granular element of Marketing activity that BT can optimise.</t>
  </si>
  <si>
    <t>This defines the Specific audience for campaigns and activities where the audience is known. For calculation of conversion or engagement rates, This would be used as the baseline count.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</si>
  <si>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t>
  </si>
  <si>
    <t>Pull Activity</t>
  </si>
  <si>
    <t>Organic, content-driven strategies that attract and engage audiences on their own terms (e.g., social posts, billboards, website content).</t>
  </si>
  <si>
    <t>This tracks the BT marketing activities that are either 1 to many communications or where the audience is not defined. It provides a timeframe and link to assets and to Interactions.</t>
  </si>
  <si>
    <t>Again this is a baseline for the marketing activity that has been carried out by BT.</t>
  </si>
  <si>
    <t>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</si>
  <si>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</si>
  <si>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Can be a derived entity from Activity</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</si>
  <si>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</si>
  <si>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</si>
  <si>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</si>
  <si>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</si>
  <si>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</si>
  <si>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</si>
  <si>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</si>
  <si>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</si>
  <si>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</si>
  <si>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</si>
  <si>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</si>
  <si>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</si>
  <si>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</si>
  <si>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</si>
  <si>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</si>
  <si>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</si>
  <si>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</si>
  <si>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</si>
  <si>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</si>
  <si>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</si>
  <si>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</si>
  <si>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Source System(JOB TITLE)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</si>
  <si>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</si>
  <si>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</si>
  <si>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</si>
  <si>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</si>
  <si>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</si>
  <si>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</si>
  <si>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</si>
  <si>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</si>
  <si>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</si>
  <si>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</si>
  <si>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</si>
  <si>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</si>
  <si>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</si>
  <si>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</si>
  <si>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</si>
  <si>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</si>
  <si>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</si>
  <si>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</si>
  <si>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</si>
  <si>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</si>
  <si>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</si>
  <si>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</si>
  <si>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</si>
  <si>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</si>
  <si>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</si>
  <si>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</si>
  <si>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</si>
  <si>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</si>
  <si>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</si>
  <si>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</si>
  <si>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</si>
  <si>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</si>
  <si>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</si>
  <si>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</si>
  <si>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</si>
  <si>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</si>
  <si>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</si>
  <si>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</si>
  <si>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</si>
  <si>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</si>
  <si>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</si>
  <si>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</si>
  <si>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</si>
  <si>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</si>
  <si>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</si>
  <si>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</si>
  <si>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</si>
  <si>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</si>
  <si>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</si>
  <si>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 ID</t>
  </si>
  <si>
    <t>Unique Identifier for this particular link</t>
  </si>
  <si>
    <t>PK</t>
  </si>
  <si>
    <t>Activity ID</t>
  </si>
  <si>
    <t>Identifies the specific marketing activity being linked</t>
  </si>
  <si>
    <t>FK -&gt; Activity.Activity_ID</t>
  </si>
  <si>
    <t>Interaction ID</t>
  </si>
  <si>
    <t>Identifies the specific interaction that is being linked</t>
  </si>
  <si>
    <t>FK -&gt; Interaction.Interaction_ID</t>
  </si>
  <si>
    <t>Outcome Type</t>
  </si>
  <si>
    <t>Identifies which outcome table is being linked</t>
  </si>
  <si>
    <t>Picklist</t>
  </si>
  <si>
    <t>Outcome ID</t>
  </si>
  <si>
    <t>Identifies the specific outcome within that table that is linked.</t>
  </si>
  <si>
    <t>FK -&gt; Outcome_Type.Outcome_ID</t>
  </si>
  <si>
    <t>Company ID</t>
  </si>
  <si>
    <t>Identifies the company that carried out the interaction and is related to the outcome.</t>
  </si>
  <si>
    <t>FK -&gt; Company.Company_ID</t>
  </si>
  <si>
    <t>Person ID</t>
  </si>
  <si>
    <t>Identifies the Person related to the activity or interaction.</t>
  </si>
  <si>
    <t>FK -&gt; Person.Person_ID</t>
  </si>
  <si>
    <t>Relation 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</si>
  <si>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</si>
  <si>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</si>
  <si>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 Lag</t>
  </si>
  <si>
    <t>Time Between the Activity and the outcome * modelling may prefer to calculate from source fields.</t>
  </si>
  <si>
    <t>Time Difference</t>
  </si>
  <si>
    <t>Model Output ID</t>
  </si>
  <si>
    <t>Unique Identifier for the model output given for this link and model.</t>
  </si>
  <si>
    <t>ID - PK</t>
  </si>
  <si>
    <t>Which is the link this result relates to</t>
  </si>
  <si>
    <t>ID - FK</t>
  </si>
  <si>
    <t>Model ID</t>
  </si>
  <si>
    <t>Which Model has provided this result</t>
  </si>
  <si>
    <t>Attribution Weight</t>
  </si>
  <si>
    <t>What is the proportion of the outcome that was caused by the activity as calculated by the model.</t>
  </si>
  <si>
    <t>Float</t>
  </si>
  <si>
    <t>Attrribution Model</t>
  </si>
  <si>
    <t>Unique Identifier for the model</t>
  </si>
  <si>
    <t>Model Name</t>
  </si>
  <si>
    <t>Name given the the model</t>
  </si>
  <si>
    <t>String</t>
  </si>
  <si>
    <t>V01.0_Rules_Based_with_Guardrails</t>
  </si>
  <si>
    <t>Model Start Date</t>
  </si>
  <si>
    <t>When was the model usable from</t>
  </si>
  <si>
    <t>Date</t>
  </si>
  <si>
    <t>Model End Date</t>
  </si>
  <si>
    <t>When does the model cease to be useable.</t>
  </si>
  <si>
    <t>Model Status</t>
  </si>
  <si>
    <t>is the model validated and usable, or retired</t>
  </si>
  <si>
    <t>Model 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</si>
  <si>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</si>
  <si>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</si>
  <si>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</si>
  <si>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</si>
  <si>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 Used</t>
  </si>
  <si>
    <t xml:space="preserve">Which outcome is this model Attributing for </t>
  </si>
  <si>
    <t>Raised Orders, Completed Orders, Customer Value Change, Churn, leads, Lead Conversion</t>
  </si>
  <si>
    <t>Model 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</si>
  <si>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</si>
  <si>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</si>
  <si>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</si>
  <si>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</si>
  <si>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</si>
  <si>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</si>
  <si>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 Date</t>
  </si>
  <si>
    <t>Date the Campaign was created (in Monday.com)</t>
  </si>
  <si>
    <t>Start Date</t>
  </si>
  <si>
    <t>Date the campaign First went live and it was possible for a person to interact with the campaigns content.</t>
  </si>
  <si>
    <t>End Date</t>
  </si>
  <si>
    <t>Date the campaign finished, the content is no longer being shared and new interactions are either impossible or unlikely.</t>
  </si>
  <si>
    <t>Budget 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</si>
  <si>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</si>
  <si>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</si>
  <si>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</si>
  <si>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 Audience ID</t>
  </si>
  <si>
    <t>** Might not be directly relevant might primarially be joined via the Activity</t>
  </si>
  <si>
    <t>FK -&gt; Audience.Audience_ID</t>
  </si>
  <si>
    <t>Parent Campaign 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</si>
  <si>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</si>
  <si>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</si>
  <si>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</si>
  <si>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</si>
  <si>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 Anticipated</t>
  </si>
  <si>
    <t>Planned Cost of the campaign, How much of the budget has been provisionally allocated.</t>
  </si>
  <si>
    <t>Costs Actuals</t>
  </si>
  <si>
    <t>The actual tracked cost for this campaign. TBC if this is just external cost of if there is also an internal effort considered here.</t>
  </si>
  <si>
    <t>Outcome 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</si>
  <si>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</si>
  <si>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</si>
  <si>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</si>
  <si>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</si>
  <si>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</si>
  <si>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</si>
  <si>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</si>
  <si>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</si>
  <si>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 Unit</t>
  </si>
  <si>
    <t>Which Business Unit is the campaign Targeting</t>
  </si>
  <si>
    <t>SMB, CPS, Global</t>
  </si>
  <si>
    <t>DMO Owner</t>
  </si>
  <si>
    <t>Or another table that identifies the roles associated with the campaign.</t>
  </si>
  <si>
    <t>??? Owner</t>
  </si>
  <si>
    <t>Product Family</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</si>
  <si>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</si>
  <si>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</si>
  <si>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</si>
  <si>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</si>
  <si>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</si>
  <si>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</si>
  <si>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</si>
  <si>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</si>
  <si>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</si>
  <si>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</si>
  <si>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</si>
  <si>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</si>
  <si>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</si>
  <si>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</si>
  <si>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</si>
  <si>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</si>
  <si>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 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</si>
  <si>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</si>
  <si>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</si>
  <si>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</si>
  <si>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</si>
  <si>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</si>
  <si>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Interaction_ID</t>
  </si>
  <si>
    <t>Unique Identifier for the Interaction</t>
  </si>
  <si>
    <t>What was the type of intereaction. E.G. Open, Click, Visit, Call,…</t>
  </si>
  <si>
    <t>When did this interaction happen.</t>
  </si>
  <si>
    <t>Duration</t>
  </si>
  <si>
    <t>How long did the interaction last.</t>
  </si>
  <si>
    <t>INTERVAL</t>
  </si>
  <si>
    <t>1-2 3 4:5:6.789999
https://cloud.google.com/bigquery/docs/reference/standard-sql/interval_functions</t>
  </si>
  <si>
    <t>Follow from interaction</t>
  </si>
  <si>
    <t>If interaction came from a separate interaction. I.E. click on link -&gt; View Webpage -&gt; Submit Form</t>
  </si>
  <si>
    <t>What was the Activity this interaction is related to.</t>
  </si>
  <si>
    <t>Optional Needs One of person or company</t>
  </si>
  <si>
    <t>Interacted Person ID</t>
  </si>
  <si>
    <t>Identifies the person that carried out the interaction.</t>
  </si>
  <si>
    <t>Interacted Company ID</t>
  </si>
  <si>
    <t>Identifies the company that carried out the interaction.</t>
  </si>
  <si>
    <t>Identification Method</t>
  </si>
  <si>
    <t>What method was used to identify the individual or company for this interaction.</t>
  </si>
  <si>
    <t>Known From outbound Communication, Self Identification, Cookie match, IP Company Match, None</t>
  </si>
  <si>
    <t>Data Source</t>
  </si>
  <si>
    <t>Which system tracked this interaction</t>
  </si>
  <si>
    <t>Marketing Asset ID</t>
  </si>
  <si>
    <t>Primary key for each unique Marketing Asset</t>
  </si>
  <si>
    <t>Uses Dynamic Content</t>
  </si>
  <si>
    <t>identifies if the content contains dynamic personalisation specific to the audience.</t>
  </si>
  <si>
    <t>Pega 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</si>
  <si>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</si>
  <si>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</si>
  <si>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</si>
  <si>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</si>
  <si>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</si>
  <si>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Product ID</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</si>
  <si>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</si>
  <si>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</si>
  <si>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</si>
  <si>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</si>
  <si>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 Table</t>
  </si>
  <si>
    <t>Identifies the GCP table that this Row is sourced from</t>
  </si>
  <si>
    <t>Source ID Field</t>
  </si>
  <si>
    <t>Identifies the PK field of that table.</t>
  </si>
  <si>
    <t>Source ID</t>
  </si>
  <si>
    <t>The Source Table PK Value.</t>
  </si>
  <si>
    <t>ID</t>
  </si>
  <si>
    <t>Unique Identifier for this order.</t>
  </si>
  <si>
    <t>Unique Friendly name of the order, May be a concatenation of product, Time and company.</t>
  </si>
  <si>
    <t>Which Product Family the product being sold in the order belongs to.</t>
  </si>
  <si>
    <t>String Enum</t>
  </si>
  <si>
    <t>Product Group</t>
  </si>
  <si>
    <t>Which product group the product being sold in the order belongs to.</t>
  </si>
  <si>
    <t>Product</t>
  </si>
  <si>
    <t>Which particular product was being sold in the order. *It might be actual we relate the order to a more complex product table depending on how the source data is structured</t>
  </si>
  <si>
    <t>Action Type</t>
  </si>
  <si>
    <t xml:space="preserve">In what part of the customer lifecycle is this order, what is its context based on current  company status. </t>
  </si>
  <si>
    <t>"No Action", "Cease", "Modify", "Provide", "Mixed"</t>
  </si>
  <si>
    <t>Transaction Channel</t>
  </si>
  <si>
    <t xml:space="preserve">How did the customer make the order
</t>
  </si>
  <si>
    <t>Digitally - Order was processed on the website
Phone - Order was processed over the phone
Physically - Order was processed and agreed F2F?</t>
  </si>
  <si>
    <t>Date Raised</t>
  </si>
  <si>
    <t>Date the order was agreed by the client, They have commited to buy at agreed price</t>
  </si>
  <si>
    <t>Transaction Date</t>
  </si>
  <si>
    <t>When was the order actually transacted</t>
  </si>
  <si>
    <t>Sales Order Value</t>
  </si>
  <si>
    <t>Sales Order Value Gross Margin</t>
  </si>
  <si>
    <t>Initial Contract Value</t>
  </si>
  <si>
    <t>Initial Contract Value Gross margin</t>
  </si>
  <si>
    <t>Average Revenue per 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</si>
  <si>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</si>
  <si>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</si>
  <si>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</si>
  <si>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 Completed</t>
  </si>
  <si>
    <t>When is the order delivery completed and revenue is confirmed.</t>
  </si>
  <si>
    <t>Causal_Interaction_ID</t>
  </si>
  <si>
    <t>The Iteraction that lead to the sale. E.G. the call. Foreign Key to the Interaction table.</t>
  </si>
  <si>
    <t>Related Opportunity_ID</t>
  </si>
  <si>
    <t>Which Opportunity preceeded and drove this order</t>
  </si>
  <si>
    <t>FK -&gt; Opportunity.Opportunity_ID</t>
  </si>
  <si>
    <t>Contract Term</t>
  </si>
  <si>
    <t>Agreed length of the contract.</t>
  </si>
  <si>
    <t>Previous Order_ID</t>
  </si>
  <si>
    <t>Link to another order where this order was a renewal of a previous order.</t>
  </si>
  <si>
    <t>FK -&gt; Orders.Order_ID</t>
  </si>
  <si>
    <t>Ceased Date</t>
  </si>
  <si>
    <t>Date when the subscription expires or date when subscription is cancled. For non subscription products this would be blank</t>
  </si>
  <si>
    <t>Product price Type</t>
  </si>
  <si>
    <t>Identifies if it’s a one off or recurring revenue sales. I.E&gt; Subscription.</t>
  </si>
  <si>
    <t>Product Quantity</t>
  </si>
  <si>
    <t>Cessetion Reason</t>
  </si>
  <si>
    <t>Cessation reason of the Order Item. Stopped after use</t>
  </si>
  <si>
    <t>Cancel Reason</t>
  </si>
  <si>
    <t>Reason for canceling, Stopped without using or applying, I bought then decided not to. I requested an adjustment then decided I didn't want the change.</t>
  </si>
  <si>
    <t>Unique Identifier for the activity</t>
  </si>
  <si>
    <t>Optional Name of the activity, might not be needed may come from asset + Campaign.</t>
  </si>
  <si>
    <t>When the asset started to be shared through this mechanism and interactions are possible.</t>
  </si>
  <si>
    <t>When the asset stopped being shared through this mechanism and interactions are either impossible or unlikely.</t>
  </si>
  <si>
    <t>Audience ID</t>
  </si>
  <si>
    <t>The Expected audience for this Activity</t>
  </si>
  <si>
    <t>Used to limit which people / companies are likely to have been impacted by this activity</t>
  </si>
  <si>
    <t>Reach Individuals</t>
  </si>
  <si>
    <t>The estimated or actual number of individuals that would have had an opportunity to interact with this activity</t>
  </si>
  <si>
    <t>Combine with the audience size to estimate the likelyhood that anyone in the audience was impacted by this activity.</t>
  </si>
  <si>
    <t>potential Metric for future dashboards that are not currently in scope</t>
  </si>
  <si>
    <t>Reach Companies</t>
  </si>
  <si>
    <t>The estimated or actual number of companies that would have had the opportunity to interact with this activity. * Company Granularity to be determined</t>
  </si>
  <si>
    <t>Identifies the marketing asset that this marketing activity shares</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</si>
  <si>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</si>
  <si>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</si>
  <si>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</si>
  <si>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</si>
  <si>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</si>
  <si>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was the push activity send</t>
  </si>
  <si>
    <t>Status</t>
  </si>
  <si>
    <t>What is the status of the push activity, I.E. was it Delivered, Part of control cell,…</t>
  </si>
  <si>
    <t>Which marketing asset was sent my marketing activity</t>
  </si>
  <si>
    <t>FK -&gt;Marketing Asset.Marketing Asset ID</t>
  </si>
  <si>
    <t>Campaign ID</t>
  </si>
  <si>
    <t>Which campaign was this activity associated with.</t>
  </si>
  <si>
    <t>FK -&gt; Campaigns.Campaign_ID</t>
  </si>
  <si>
    <t>Targeted Person ID</t>
  </si>
  <si>
    <t>Identifies the person the marketing activity targeted.</t>
  </si>
  <si>
    <t>Targeted Company ID</t>
  </si>
  <si>
    <t>Identified the company that was targeted with the communication.</t>
  </si>
  <si>
    <t>Identified the audience that caused the individual or company to be targeted. This is a foreign key to linking to the audience table.</t>
  </si>
  <si>
    <t>This will be one of the ways that a marketing activity is associated with an person or a company ultimately then an outcome.</t>
  </si>
  <si>
    <t>Used in the audience analysis as a selection of the group of individuals or companies to review for outcome and descriptive charicteristics.</t>
  </si>
  <si>
    <t>System ID</t>
  </si>
  <si>
    <t>Which System facilitated this Activity</t>
  </si>
  <si>
    <t>Name of the tool</t>
  </si>
  <si>
    <t>Owner</t>
  </si>
  <si>
    <t>The BT team member that is responsible for this tool</t>
  </si>
  <si>
    <t>Yearly Cost</t>
  </si>
  <si>
    <t>* We may want a more compex tracking method later. This should be the cost that is not campaign specific. I.E. General License and platform maintainance costs.</t>
  </si>
  <si>
    <t>Currency Pounds</t>
  </si>
  <si>
    <t>Person_ID</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</si>
  <si>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</si>
  <si>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</si>
  <si>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</si>
  <si>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</si>
  <si>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</si>
  <si>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</si>
  <si>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</si>
  <si>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</si>
  <si>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</si>
  <si>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 Type</t>
  </si>
  <si>
    <t>Identifies the Role the person had at the company,</t>
  </si>
  <si>
    <t>Company_ID</t>
  </si>
  <si>
    <t>Parent_Company_ID</t>
  </si>
  <si>
    <t>Company Market Channel</t>
  </si>
  <si>
    <t>Company Business Type</t>
  </si>
  <si>
    <t>Billing Account, CUG, WK</t>
  </si>
  <si>
    <t>CUG, Billing Account, SAC, World Key</t>
  </si>
  <si>
    <t>Owner_ID</t>
  </si>
  <si>
    <t>Who is the sales person assigned to manage this company as an account.</t>
  </si>
  <si>
    <t>Vertical</t>
  </si>
  <si>
    <t>Industry</t>
  </si>
  <si>
    <t>Location</t>
  </si>
  <si>
    <t>This is a proxy field for some set of fields that identify company locations, can be aligned to source data structure.</t>
  </si>
  <si>
    <t>Other Related Company Fields TBC</t>
  </si>
  <si>
    <t>Friendly Name of the audience</t>
  </si>
  <si>
    <t>How is this audience identified</t>
  </si>
  <si>
    <t>Audience Criteria Description</t>
  </si>
  <si>
    <t>An description of the requirements for the audience to fulfil</t>
  </si>
  <si>
    <t>Audience Criteria Technical</t>
  </si>
  <si>
    <t>The technical implimentation of these audience requirements.</t>
  </si>
  <si>
    <t>Propensity model 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</si>
  <si>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</si>
  <si>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</si>
  <si>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 individuals</t>
  </si>
  <si>
    <t>The Estimated or actual count of individuals that form this audience.</t>
  </si>
  <si>
    <t>Size 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</si>
  <si>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</si>
  <si>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</si>
  <si>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</si>
  <si>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</si>
  <si>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Identifies the specific product family that this change refers to.</t>
  </si>
  <si>
    <t>Sales Order Value Change</t>
  </si>
  <si>
    <t>The Difference in Sales Order Value, Before to after the change date</t>
  </si>
  <si>
    <t>Sales Order Value Gross Margin Change</t>
  </si>
  <si>
    <t>The difference in SOV GM from before the change to after the change date</t>
  </si>
  <si>
    <t>Initial Contract Value Change</t>
  </si>
  <si>
    <t>The difference in ICV from before to after the change date.</t>
  </si>
  <si>
    <t>Initial Contract Value Gross margin Change</t>
  </si>
  <si>
    <t>The Difference in ICV GM from before to after the change date.</t>
  </si>
  <si>
    <t>Change Type</t>
  </si>
  <si>
    <t>Denotes what the type of change was, whether its at the start or end of a customer journey or in the midding.</t>
  </si>
  <si>
    <t>New Order
Renewal - Same Product
Renewal - Different Product
Lapsing</t>
  </si>
  <si>
    <t>Prev Order ID</t>
  </si>
  <si>
    <t>Reference to the Order that contains the old values for this product. This may be empty if no previous order found.</t>
  </si>
  <si>
    <t>New Order 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</si>
  <si>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</si>
  <si>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</si>
  <si>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</si>
  <si>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</si>
  <si>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</si>
  <si>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 Parent 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</si>
  <si>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</si>
  <si>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</si>
  <si>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</si>
  <si>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</si>
  <si>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</si>
  <si>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</si>
  <si>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</si>
  <si>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</si>
  <si>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</si>
  <si>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</si>
  <si>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 Year</t>
  </si>
  <si>
    <t>Which financial Year this date falls within</t>
  </si>
  <si>
    <t>Financial Quarter</t>
  </si>
  <si>
    <t>Which Financial Quarter this date falls into.</t>
  </si>
  <si>
    <t>Financial Month Number</t>
  </si>
  <si>
    <t>Month Number within BT Financial Year.</t>
  </si>
  <si>
    <t>is_weekend</t>
  </si>
  <si>
    <t>is_holiday</t>
  </si>
  <si>
    <t>Tool_id</t>
  </si>
  <si>
    <t>Sythentic ID given to head tool</t>
  </si>
  <si>
    <t>Interaction</t>
  </si>
  <si>
    <t>Contact</t>
  </si>
  <si>
    <t>Time Lag (Days)</t>
  </si>
  <si>
    <t>Weight</t>
  </si>
  <si>
    <t>Outcome Value</t>
  </si>
  <si>
    <t>Attributed Amount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</si>
  <si>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</si>
  <si>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</si>
  <si>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</si>
  <si>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</si>
  <si>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</si>
  <si>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</si>
  <si>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</si>
  <si>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</si>
  <si>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</si>
  <si>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</si>
  <si>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</si>
  <si>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</si>
  <si>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</si>
  <si>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</si>
  <si>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</si>
  <si>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</si>
  <si>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</si>
  <si>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</si>
  <si>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</si>
  <si>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</si>
  <si>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</si>
  <si>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</si>
  <si>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</si>
  <si>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</si>
  <si>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</si>
  <si>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</si>
  <si>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</si>
  <si>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</si>
  <si>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</si>
  <si>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</si>
  <si>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</si>
  <si>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</si>
  <si>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</si>
  <si>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</si>
  <si>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</si>
  <si>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</si>
  <si>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</si>
  <si>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</si>
  <si>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</si>
  <si>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</si>
  <si>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</si>
  <si>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</si>
  <si>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</si>
  <si>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</si>
  <si>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</si>
  <si>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</si>
  <si>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</si>
  <si>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</si>
  <si>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</si>
  <si>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</si>
  <si>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</si>
  <si>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</si>
  <si>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</si>
  <si>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</si>
  <si>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</si>
  <si>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</si>
  <si>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</si>
  <si>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</si>
  <si>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</si>
  <si>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</si>
  <si>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</si>
  <si>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</si>
  <si>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</si>
  <si>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</si>
  <si>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</si>
  <si>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</si>
  <si>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</si>
  <si>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</si>
  <si>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</si>
  <si>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</si>
  <si>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</si>
  <si>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</si>
  <si>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</si>
  <si>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</si>
  <si>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</si>
  <si>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</si>
  <si>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</si>
  <si>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</si>
  <si>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</si>
  <si>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</si>
  <si>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</si>
  <si>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</si>
  <si>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</si>
  <si>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</si>
  <si>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</si>
  <si>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</si>
  <si>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</si>
  <si>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</si>
  <si>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</si>
  <si>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</si>
  <si>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</si>
  <si>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</si>
  <si>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</si>
  <si>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</si>
  <si>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</si>
  <si>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</si>
  <si>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</si>
  <si>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</si>
  <si>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</si>
  <si>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</si>
  <si>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</si>
  <si>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</si>
  <si>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</si>
  <si>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</si>
  <si>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</si>
  <si>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</si>
  <si>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</si>
  <si>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</si>
  <si>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</si>
  <si>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</si>
  <si>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</si>
  <si>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</si>
  <si>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</si>
  <si>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</si>
  <si>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</si>
  <si>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</si>
  <si>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</si>
  <si>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</si>
  <si>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</si>
  <si>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</si>
  <si>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</si>
  <si>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</si>
  <si>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</si>
  <si>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</si>
  <si>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</si>
  <si>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</si>
  <si>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</si>
  <si>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</si>
  <si>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</si>
  <si>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</si>
  <si>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</si>
  <si>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</si>
  <si>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</si>
  <si>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</si>
  <si>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</si>
  <si>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</si>
  <si>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</si>
  <si>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</si>
  <si>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</si>
  <si>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</si>
  <si>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</si>
  <si>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</si>
  <si>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</si>
  <si>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</si>
  <si>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</si>
  <si>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</si>
  <si>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</si>
  <si>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</si>
  <si>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</si>
  <si>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</si>
  <si>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</si>
  <si>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</si>
  <si>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</si>
  <si>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</si>
  <si>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</si>
  <si>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</si>
  <si>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</si>
  <si>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</si>
  <si>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</si>
  <si>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</si>
  <si>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</si>
  <si>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</si>
  <si>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</si>
  <si>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</si>
  <si>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</si>
  <si>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</si>
  <si>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</si>
  <si>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</si>
  <si>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</si>
  <si>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</si>
  <si>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</si>
  <si>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</si>
  <si>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</si>
  <si>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</si>
  <si>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</si>
  <si>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</si>
  <si>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</si>
  <si>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</si>
  <si>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</si>
  <si>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</si>
  <si>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</si>
  <si>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</si>
  <si>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</si>
  <si>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</si>
  <si>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</si>
  <si>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</si>
  <si>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</si>
  <si>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</si>
  <si>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</si>
  <si>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</si>
  <si>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</si>
  <si>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</si>
  <si>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</si>
  <si>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</si>
  <si>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</si>
  <si>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</si>
  <si>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</si>
  <si>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</si>
  <si>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</si>
  <si>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</si>
  <si>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</si>
  <si>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</si>
  <si>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</si>
  <si>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</si>
  <si>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</si>
  <si>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</si>
  <si>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</si>
  <si>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</si>
  <si>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</si>
  <si>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</si>
  <si>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</si>
  <si>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</si>
  <si>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</si>
  <si>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</si>
  <si>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</si>
  <si>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</si>
  <si>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</si>
  <si>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</si>
  <si>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</si>
  <si>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Comment</t>
  </si>
  <si>
    <t>Paid Digital Ads</t>
  </si>
  <si>
    <t>ATL</t>
  </si>
  <si>
    <t>IP Inferred</t>
  </si>
  <si>
    <t>Content Syndication</t>
  </si>
  <si>
    <t>Audience Inferred</t>
  </si>
  <si>
    <t>Web</t>
  </si>
  <si>
    <t>IP Inferred or Better</t>
  </si>
  <si>
    <t>Above the Line - Non Digital</t>
  </si>
  <si>
    <t>Placeholder For multiple channels</t>
  </si>
  <si>
    <t>Social Posts</t>
  </si>
  <si>
    <t>Social Outbound Messages</t>
  </si>
  <si>
    <t>BTL</t>
  </si>
  <si>
    <t>Known Person</t>
  </si>
  <si>
    <t>Virtual Events</t>
  </si>
  <si>
    <t>Self Identified</t>
  </si>
  <si>
    <t>F2F Events</t>
  </si>
  <si>
    <t>Webinars</t>
  </si>
  <si>
    <t>Direct Mail</t>
  </si>
  <si>
    <t>Whatsapp</t>
  </si>
  <si>
    <t>RCS</t>
  </si>
  <si>
    <t>Email</t>
  </si>
  <si>
    <t>SMS</t>
  </si>
  <si>
    <t>MMS</t>
  </si>
  <si>
    <t>App Push Notification</t>
  </si>
  <si>
    <t>Sales Meetings</t>
  </si>
  <si>
    <t>Sales</t>
  </si>
  <si>
    <t>Sales Calls</t>
  </si>
  <si>
    <t>Sales Email</t>
  </si>
  <si>
    <t>Channel</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</si>
  <si>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</si>
  <si>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</si>
  <si>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</si>
  <si>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</si>
  <si>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</si>
  <si>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</si>
  <si>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</si>
  <si>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</si>
  <si>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</si>
  <si>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</si>
  <si>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</si>
  <si>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</si>
  <si>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</si>
  <si>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</si>
  <si>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</si>
  <si>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</si>
  <si>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</si>
  <si>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</si>
  <si>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</si>
  <si>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</si>
  <si>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</si>
  <si>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</si>
  <si>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</si>
  <si>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</si>
  <si>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Inbound Calls</t>
  </si>
  <si>
    <t>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</si>
</sst>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0">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 fillId="0" borderId="4" xfId="0" applyFont="1" applyBorder="1"/>
    <xf numFmtId="0" fontId="0" fillId="0" borderId="5" xfId="0" applyBorder="1"/>
    <xf numFmtId="0" fontId="0" fillId="0" borderId="6"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cellXfs>
  <cellStyles count="1">
    <cellStyle name="Normal" xfId="0" builtinId="0"/>
  </cellStyles>
  <dxfs count="3">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73" totalsRowShown="0">
  <autoFilter ref="A1:J173" xr:uid="{AE1AD4F9-4E3A-41DA-9532-E435FAC78061}"/>
  <tableColumns count="10">
    <tableColumn id="1" xr3:uid="{FA10E4DE-EA14-4D6D-B2DE-B36300D4BF76}" name="Object" dataDxfId="2"/>
    <tableColumn id="2" xr3:uid="{32E1B4A0-4AC4-478E-B858-9CDAC148562B}" name="Name"/>
    <tableColumn id="3" xr3:uid="{85FF24E0-DD58-4F79-B3D0-388BE33FFF38}" name="Description" dataDxfId="1"/>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0"/>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104"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 ref="C107" dT="2025-03-06T16:37:15.29" personId="{14C944A1-1481-401E-974A-00A50AE6EDAF}" id="{0AF79B6B-4424-47BE-A6D1-44B67BFA5C1D}">
    <text xml:space="preserve">@David Irvine 
hope its Marketing Asset - bulletin etc
</text>
    <mentions>
      <mention mentionpersonId="{2D30A5D6-A763-4ABB-81AE-1F40D026C227}" mentionId="{A3E4CE78-E2D0-4F35-8130-361426FEAED0}" startIndex="0" length="13"/>
    </mentions>
  </threadedComment>
  <threadedComment ref="C107" dT="2025-03-07T22:07:31.32" personId="{B662DE40-7D09-46E5-994D-04657B702874}" id="{5B19FF75-413F-42F1-981E-51C52DF1C444}" parentId="{0AF79B6B-4424-47BE-A6D1-44B67BFA5C1D}">
    <text>Updated</text>
  </threadedComment>
  <threadedComment ref="C111" dT="2025-03-06T16:37:38.16" personId="{14C944A1-1481-401E-974A-00A50AE6EDAF}" id="{743A8CEB-662A-4266-9865-AE4208BB8853}">
    <text xml:space="preserve">@David Irvine 
need some example please . Audience will be part of contact(person) or company (customer)
</text>
    <mentions>
      <mention mentionpersonId="{2D30A5D6-A763-4ABB-81AE-1F40D026C227}" mentionId="{98A2319B-9179-4D17-8B08-096AE9402B5D}" startIndex="0" length="13"/>
    </mentions>
  </threadedComment>
  <threadedComment ref="C111" dT="2025-03-07T22:08:12.74" personId="{B662DE40-7D09-46E5-994D-04657B702874}" id="{7ECB8EFC-8B65-4BC1-894D-08FDEBC4BB3E}" parentId="{743A8CEB-662A-4266-9865-AE4208BB8853}">
    <text>See the audience table and description given lower in this table and in the higher level object definitions.</text>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1"/>
  <sheetViews>
    <sheetView zoomScale="115" zoomScaleNormal="100" workbookViewId="0">
      <pane xSplit="1" ySplit="1" topLeftCell="F5" activePane="bottomRight" state="frozen"/>
      <selection pane="bottomRight" activeCell="I12" sqref="I12"/>
      <selection pane="bottomLeft"/>
      <selection pane="topRight"/>
    </sheetView>
  </sheetViews>
  <sheetFormatPr defaultRowHeight="1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90">
      <c r="A2" s="34" t="s">
        <v>13</v>
      </c>
      <c r="B2" s="34" t="s">
        <v>14</v>
      </c>
      <c r="C2" s="1" t="s">
        <v>15</v>
      </c>
      <c r="D2" s="1" t="s">
        <v>16</v>
      </c>
      <c r="E2" s="1" t="s">
        <v>17</v>
      </c>
      <c r="F2" s="5" t="s">
        <v>18</v>
      </c>
      <c r="G2">
        <f>COUNTIF(Attributes!A:A,objects!A2)</f>
        <v>18</v>
      </c>
      <c r="H2" t="s">
        <v>19</v>
      </c>
      <c r="I2">
        <v>1</v>
      </c>
      <c r="J2">
        <v>30</v>
      </c>
      <c r="L2" s="3" t="s">
        <v>20</v>
      </c>
    </row>
    <row r="3" spans="1:13" ht="75">
      <c r="A3" s="35" t="s">
        <v>21</v>
      </c>
      <c r="B3" s="35" t="s">
        <v>22</v>
      </c>
      <c r="C3" s="1" t="s">
        <v>23</v>
      </c>
      <c r="D3" s="1" t="s">
        <v>24</v>
      </c>
      <c r="E3" s="1" t="s">
        <v>25</v>
      </c>
      <c r="F3" s="1" t="s">
        <v>26</v>
      </c>
      <c r="G3">
        <f>COUNTIF(Attributes!A:A,objects!A3)</f>
        <v>5</v>
      </c>
      <c r="H3" t="s">
        <v>27</v>
      </c>
      <c r="I3">
        <v>2</v>
      </c>
      <c r="J3">
        <v>10</v>
      </c>
    </row>
    <row r="4" spans="1:13" ht="75">
      <c r="A4" s="35" t="s">
        <v>28</v>
      </c>
      <c r="B4" s="35" t="s">
        <v>22</v>
      </c>
      <c r="C4" s="1" t="s">
        <v>29</v>
      </c>
      <c r="D4" s="1" t="s">
        <v>30</v>
      </c>
      <c r="E4" s="1" t="s">
        <v>31</v>
      </c>
      <c r="F4" s="1" t="s">
        <v>32</v>
      </c>
      <c r="G4">
        <f>COUNTIF(Attributes!A:A,objects!A4)</f>
        <v>4</v>
      </c>
      <c r="H4" t="s">
        <v>27</v>
      </c>
      <c r="I4">
        <v>3</v>
      </c>
      <c r="J4">
        <v>7</v>
      </c>
    </row>
    <row r="5" spans="1:13" ht="60">
      <c r="A5" s="9" t="s">
        <v>33</v>
      </c>
      <c r="B5" s="9" t="s">
        <v>14</v>
      </c>
      <c r="C5" s="1" t="s">
        <v>34</v>
      </c>
      <c r="D5" s="1" t="s">
        <v>24</v>
      </c>
      <c r="E5" s="1" t="s">
        <v>35</v>
      </c>
      <c r="F5" s="1" t="s">
        <v>36</v>
      </c>
      <c r="G5">
        <f>COUNTIF(Attributes!A:A,objects!A5)</f>
        <v>9</v>
      </c>
      <c r="H5" t="s">
        <v>27</v>
      </c>
      <c r="I5">
        <v>4</v>
      </c>
      <c r="J5">
        <v>300</v>
      </c>
    </row>
    <row r="6" spans="1:13" ht="60">
      <c r="A6" s="7" t="s">
        <v>37</v>
      </c>
      <c r="B6" s="7" t="s">
        <v>14</v>
      </c>
      <c r="C6" s="1" t="s">
        <v>38</v>
      </c>
      <c r="D6" s="1" t="s">
        <v>39</v>
      </c>
      <c r="E6" s="1" t="s">
        <v>40</v>
      </c>
      <c r="F6" s="1" t="s">
        <v>41</v>
      </c>
      <c r="G6">
        <f>COUNTIF(Attributes!A:A,objects!A6)</f>
        <v>8</v>
      </c>
      <c r="H6" t="s">
        <v>27</v>
      </c>
      <c r="I6">
        <v>5</v>
      </c>
      <c r="J6">
        <v>100</v>
      </c>
    </row>
    <row r="7" spans="1:13" ht="75">
      <c r="A7" s="34" t="s">
        <v>42</v>
      </c>
      <c r="B7" s="34"/>
      <c r="C7" s="1" t="s">
        <v>43</v>
      </c>
      <c r="D7" s="1" t="s">
        <v>44</v>
      </c>
      <c r="E7" s="1" t="s">
        <v>45</v>
      </c>
      <c r="F7" s="5" t="s">
        <v>46</v>
      </c>
      <c r="G7">
        <f>COUNTIF(Attributes!A:A,objects!A7)</f>
        <v>14</v>
      </c>
      <c r="H7" t="s">
        <v>19</v>
      </c>
      <c r="I7">
        <v>15</v>
      </c>
      <c r="J7">
        <v>10000</v>
      </c>
    </row>
    <row r="8" spans="1:13" ht="60">
      <c r="A8" s="34" t="s">
        <v>47</v>
      </c>
      <c r="B8" s="34"/>
      <c r="C8" s="1" t="s">
        <v>48</v>
      </c>
      <c r="D8" s="1" t="s">
        <v>49</v>
      </c>
      <c r="E8" s="1" t="s">
        <v>50</v>
      </c>
      <c r="F8" s="1" t="s">
        <v>51</v>
      </c>
      <c r="G8">
        <f>COUNTIF(Attributes!A:A,objects!A8)</f>
        <v>11</v>
      </c>
      <c r="H8" t="s">
        <v>19</v>
      </c>
      <c r="I8">
        <v>16</v>
      </c>
      <c r="J8">
        <v>10000</v>
      </c>
    </row>
    <row r="9" spans="1:13" ht="105">
      <c r="A9" s="34" t="s">
        <v>52</v>
      </c>
      <c r="B9" s="34" t="s">
        <v>53</v>
      </c>
      <c r="C9" s="1" t="s">
        <v>54</v>
      </c>
      <c r="D9" s="1" t="s">
        <v>55</v>
      </c>
      <c r="E9" s="1" t="s">
        <v>56</v>
      </c>
      <c r="F9" s="1" t="s">
        <v>57</v>
      </c>
      <c r="G9">
        <f>COUNTIF(Attributes!A:A,objects!A9)</f>
        <v>10</v>
      </c>
      <c r="H9" t="s">
        <v>19</v>
      </c>
      <c r="I9">
        <v>17</v>
      </c>
      <c r="J9">
        <v>500000</v>
      </c>
    </row>
    <row r="10" spans="1:13" ht="30">
      <c r="A10" s="7" t="s">
        <v>58</v>
      </c>
      <c r="B10" s="7" t="s">
        <v>59</v>
      </c>
      <c r="C10" s="1" t="s">
        <v>60</v>
      </c>
      <c r="D10" s="1" t="s">
        <v>61</v>
      </c>
      <c r="E10" s="1" t="s">
        <v>62</v>
      </c>
      <c r="F10" s="1" t="s">
        <v>63</v>
      </c>
      <c r="G10">
        <f>COUNTIF(Attributes!A:A,objects!A10)</f>
        <v>9</v>
      </c>
      <c r="H10" t="s">
        <v>27</v>
      </c>
      <c r="I10">
        <v>18</v>
      </c>
    </row>
    <row r="11" spans="1:13" ht="75">
      <c r="A11" s="34" t="s">
        <v>64</v>
      </c>
      <c r="B11" s="7" t="s">
        <v>14</v>
      </c>
      <c r="C11" s="1" t="s">
        <v>65</v>
      </c>
      <c r="D11" s="1" t="s">
        <v>66</v>
      </c>
      <c r="E11" s="1" t="s">
        <v>67</v>
      </c>
      <c r="F11" s="1" t="s">
        <v>68</v>
      </c>
      <c r="G11">
        <f>COUNTIF(Attributes!A:A,objects!A11)</f>
        <v>5</v>
      </c>
      <c r="H11" t="s">
        <v>19</v>
      </c>
      <c r="I11">
        <v>7</v>
      </c>
      <c r="J11">
        <v>5000</v>
      </c>
    </row>
    <row r="12" spans="1:13" ht="120">
      <c r="A12" s="34" t="s">
        <v>69</v>
      </c>
      <c r="B12" s="7" t="s">
        <v>14</v>
      </c>
      <c r="C12" s="1" t="s">
        <v>70</v>
      </c>
      <c r="D12" s="1" t="s">
        <v>71</v>
      </c>
      <c r="E12" s="1" t="s">
        <v>72</v>
      </c>
      <c r="F12" s="1" t="s">
        <v>73</v>
      </c>
      <c r="G12">
        <f>COUNTIF(Attributes!A:A,objects!A12)</f>
        <v>8</v>
      </c>
      <c r="H12" t="s">
        <v>19</v>
      </c>
      <c r="I12">
        <v>6</v>
      </c>
      <c r="J12">
        <v>3000</v>
      </c>
    </row>
    <row r="13" spans="1:13" ht="60">
      <c r="A13" s="37" t="s">
        <v>74</v>
      </c>
      <c r="B13" s="7" t="s">
        <v>75</v>
      </c>
      <c r="C13" s="1" t="s">
        <v>76</v>
      </c>
      <c r="D13" s="1" t="s">
        <v>77</v>
      </c>
      <c r="E13" s="1" t="s">
        <v>78</v>
      </c>
      <c r="F13" s="1" t="s">
        <v>79</v>
      </c>
      <c r="G13">
        <f>COUNTIF(Attributes!A:A,objects!A13)</f>
        <v>5</v>
      </c>
      <c r="H13" t="s">
        <v>27</v>
      </c>
      <c r="I13">
        <v>8</v>
      </c>
    </row>
    <row r="14" spans="1:13" ht="45">
      <c r="A14" s="34" t="s">
        <v>80</v>
      </c>
      <c r="B14" s="7" t="s">
        <v>14</v>
      </c>
      <c r="C14" s="1" t="s">
        <v>81</v>
      </c>
      <c r="D14" s="1" t="s">
        <v>82</v>
      </c>
      <c r="E14" s="1" t="s">
        <v>83</v>
      </c>
      <c r="F14" s="1" t="s">
        <v>84</v>
      </c>
      <c r="G14">
        <f>COUNTIF(Attributes!A:A,objects!A14)</f>
        <v>26</v>
      </c>
      <c r="H14" t="s">
        <v>19</v>
      </c>
      <c r="I14">
        <v>9</v>
      </c>
      <c r="J14">
        <v>7000</v>
      </c>
    </row>
    <row r="15" spans="1:13" ht="105">
      <c r="A15" s="34" t="s">
        <v>85</v>
      </c>
      <c r="B15" s="7" t="s">
        <v>14</v>
      </c>
      <c r="C15" s="1" t="s">
        <v>86</v>
      </c>
      <c r="D15" s="1" t="s">
        <v>82</v>
      </c>
      <c r="E15" s="1" t="s">
        <v>83</v>
      </c>
      <c r="F15" s="1" t="s">
        <v>87</v>
      </c>
      <c r="G15">
        <f>COUNTIF(Attributes!A:A,objects!A15)</f>
        <v>0</v>
      </c>
      <c r="H15" t="s">
        <v>88</v>
      </c>
      <c r="I15">
        <v>10</v>
      </c>
    </row>
    <row r="16" spans="1:13" ht="60">
      <c r="A16" s="7" t="s">
        <v>89</v>
      </c>
      <c r="B16" s="7" t="s">
        <v>90</v>
      </c>
      <c r="C16" s="1" t="s">
        <v>91</v>
      </c>
      <c r="D16" s="1" t="s">
        <v>82</v>
      </c>
      <c r="E16" s="1" t="s">
        <v>83</v>
      </c>
      <c r="F16" s="1" t="s">
        <v>92</v>
      </c>
      <c r="G16">
        <f>COUNTIF(Attributes!A:A,objects!A16)</f>
        <v>12</v>
      </c>
      <c r="H16" t="s">
        <v>88</v>
      </c>
      <c r="I16">
        <v>11</v>
      </c>
    </row>
    <row r="17" spans="1:9" ht="45">
      <c r="A17" s="7" t="s">
        <v>93</v>
      </c>
      <c r="B17" s="7" t="s">
        <v>90</v>
      </c>
      <c r="C17" s="1" t="s">
        <v>94</v>
      </c>
      <c r="D17" s="1" t="s">
        <v>82</v>
      </c>
      <c r="E17" s="1" t="s">
        <v>83</v>
      </c>
      <c r="F17" s="1" t="s">
        <v>95</v>
      </c>
      <c r="G17">
        <f>COUNTIF(Attributes!A:A,objects!A17)</f>
        <v>0</v>
      </c>
      <c r="H17" t="s">
        <v>88</v>
      </c>
      <c r="I17">
        <v>12</v>
      </c>
    </row>
    <row r="18" spans="1:9" ht="60">
      <c r="A18" s="3" t="s">
        <v>96</v>
      </c>
      <c r="B18" s="3" t="s">
        <v>97</v>
      </c>
      <c r="C18" s="5" t="s">
        <v>98</v>
      </c>
      <c r="D18" s="5" t="s">
        <v>99</v>
      </c>
      <c r="E18" s="5" t="s">
        <v>100</v>
      </c>
      <c r="F18" s="6" t="s">
        <v>101</v>
      </c>
      <c r="G18">
        <f>COUNTIF(Attributes!A:A,objects!A18)</f>
        <v>4</v>
      </c>
      <c r="H18" t="s">
        <v>88</v>
      </c>
      <c r="I18">
        <v>14</v>
      </c>
    </row>
    <row r="19" spans="1:9" ht="75">
      <c r="A19" s="3" t="s">
        <v>102</v>
      </c>
      <c r="B19" s="3" t="s">
        <v>97</v>
      </c>
      <c r="C19" s="5" t="s">
        <v>103</v>
      </c>
      <c r="D19" s="5" t="s">
        <v>104</v>
      </c>
      <c r="E19" s="5" t="s">
        <v>105</v>
      </c>
      <c r="F19" s="5" t="s">
        <v>106</v>
      </c>
      <c r="G19">
        <f>COUNTIF(Attributes!A:A,objects!A19)</f>
        <v>0</v>
      </c>
      <c r="H19" t="s">
        <v>88</v>
      </c>
      <c r="I19">
        <v>13</v>
      </c>
    </row>
    <row r="20" spans="1:9" ht="45">
      <c r="A20" s="3" t="s">
        <v>107</v>
      </c>
      <c r="B20" t="s">
        <v>14</v>
      </c>
      <c r="C20" s="16" t="s">
        <v>108</v>
      </c>
      <c r="D20" s="16" t="s">
        <v>109</v>
      </c>
      <c r="E20" s="16" t="s">
        <v>110</v>
      </c>
      <c r="F20" s="16" t="s">
        <v>111</v>
      </c>
      <c r="H20" t="s">
        <v>27</v>
      </c>
      <c r="I20">
        <v>0</v>
      </c>
    </row>
    <row r="21" spans="1:9" ht="45">
      <c r="A21" s="3" t="s">
        <v>112</v>
      </c>
      <c r="B21" t="s">
        <v>59</v>
      </c>
      <c r="C21" s="16" t="s">
        <v>113</v>
      </c>
      <c r="D21" s="16" t="s">
        <v>114</v>
      </c>
      <c r="E21" s="16" t="s">
        <v>115</v>
      </c>
      <c r="F21" s="16" t="s">
        <v>116</v>
      </c>
      <c r="H21" t="s">
        <v>27</v>
      </c>
      <c r="I2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73"/>
  <sheetViews>
    <sheetView tabSelected="1" zoomScale="115" zoomScaleNormal="115" workbookViewId="0">
      <pane xSplit="2" ySplit="1" topLeftCell="C122" activePane="bottomRight" state="frozen"/>
      <selection pane="bottomRight" activeCell="B140" sqref="B140"/>
      <selection pane="bottomLeft" activeCell="A2" sqref="A2"/>
      <selection pane="topRight" activeCell="C1" sqref="C1"/>
    </sheetView>
  </sheetViews>
  <sheetFormatPr defaultRowHeight="15"/>
  <cols>
    <col min="1" max="1" width="38" customWidth="1"/>
    <col min="2" max="2" width="35.5703125" bestFit="1" customWidth="1"/>
    <col min="3" max="3" width="136" style="1" bestFit="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117</v>
      </c>
      <c r="B1" s="3" t="s">
        <v>0</v>
      </c>
      <c r="C1" s="2" t="s">
        <v>2</v>
      </c>
      <c r="D1" s="3" t="s">
        <v>118</v>
      </c>
      <c r="E1" s="3" t="s">
        <v>119</v>
      </c>
      <c r="F1" s="3" t="s">
        <v>120</v>
      </c>
      <c r="G1" s="24" t="s">
        <v>121</v>
      </c>
      <c r="H1" t="s">
        <v>122</v>
      </c>
      <c r="I1" t="s">
        <v>123</v>
      </c>
      <c r="J1" t="s">
        <v>124</v>
      </c>
    </row>
    <row r="2" spans="1:10">
      <c r="A2" s="36" t="s">
        <v>58</v>
      </c>
      <c r="B2" s="36" t="s">
        <v>125</v>
      </c>
      <c r="C2" s="36" t="s">
        <v>126</v>
      </c>
      <c r="F2" t="s">
        <v>127</v>
      </c>
    </row>
    <row r="3" spans="1:10">
      <c r="A3" s="36" t="s">
        <v>58</v>
      </c>
      <c r="B3" s="36" t="s">
        <v>128</v>
      </c>
      <c r="C3" s="36" t="s">
        <v>129</v>
      </c>
      <c r="F3" t="s">
        <v>130</v>
      </c>
    </row>
    <row r="4" spans="1:10">
      <c r="A4" s="36" t="s">
        <v>58</v>
      </c>
      <c r="B4" s="36" t="s">
        <v>131</v>
      </c>
      <c r="C4" s="36" t="s">
        <v>132</v>
      </c>
      <c r="F4" t="s">
        <v>133</v>
      </c>
    </row>
    <row r="5" spans="1:10">
      <c r="A5" s="36" t="s">
        <v>58</v>
      </c>
      <c r="B5" s="36" t="s">
        <v>134</v>
      </c>
      <c r="C5" s="36" t="s">
        <v>135</v>
      </c>
      <c r="F5" t="s">
        <v>136</v>
      </c>
    </row>
    <row r="6" spans="1:10">
      <c r="A6" s="36" t="s">
        <v>58</v>
      </c>
      <c r="B6" s="36" t="s">
        <v>137</v>
      </c>
      <c r="C6" s="36" t="s">
        <v>138</v>
      </c>
      <c r="F6" t="s">
        <v>139</v>
      </c>
    </row>
    <row r="7" spans="1:10">
      <c r="A7" s="36" t="s">
        <v>58</v>
      </c>
      <c r="B7" s="36" t="s">
        <v>140</v>
      </c>
      <c r="C7" s="36" t="s">
        <v>141</v>
      </c>
      <c r="F7" t="s">
        <v>142</v>
      </c>
    </row>
    <row r="8" spans="1:10">
      <c r="A8" s="36" t="s">
        <v>58</v>
      </c>
      <c r="B8" s="36" t="s">
        <v>143</v>
      </c>
      <c r="C8" s="36" t="s">
        <v>144</v>
      </c>
      <c r="F8" t="s">
        <v>145</v>
      </c>
    </row>
    <row r="9" spans="1:10" ht="107.25" customHeight="1">
      <c r="A9" s="36" t="s">
        <v>58</v>
      </c>
      <c r="B9" s="36" t="s">
        <v>146</v>
      </c>
      <c r="C9" s="36" t="s">
        <v>147</v>
      </c>
      <c r="F9" t="s">
        <v>136</v>
      </c>
      <c r="G9" s="16" t="s">
        <v>148</v>
      </c>
    </row>
    <row r="10" spans="1:10">
      <c r="A10" s="36" t="s">
        <v>58</v>
      </c>
      <c r="B10" s="36" t="s">
        <v>149</v>
      </c>
      <c r="C10" s="36" t="s">
        <v>150</v>
      </c>
      <c r="F10" t="s">
        <v>151</v>
      </c>
    </row>
    <row r="11" spans="1:10">
      <c r="A11" t="s">
        <v>96</v>
      </c>
      <c r="B11" t="s">
        <v>152</v>
      </c>
      <c r="C11" t="s">
        <v>153</v>
      </c>
      <c r="F11" t="s">
        <v>154</v>
      </c>
    </row>
    <row r="12" spans="1:10">
      <c r="A12" t="s">
        <v>96</v>
      </c>
      <c r="B12" t="s">
        <v>125</v>
      </c>
      <c r="C12" t="s">
        <v>155</v>
      </c>
      <c r="F12" t="s">
        <v>156</v>
      </c>
    </row>
    <row r="13" spans="1:10">
      <c r="A13" t="s">
        <v>96</v>
      </c>
      <c r="B13" t="s">
        <v>157</v>
      </c>
      <c r="C13" t="s">
        <v>158</v>
      </c>
      <c r="F13" t="s">
        <v>156</v>
      </c>
    </row>
    <row r="14" spans="1:10">
      <c r="A14" t="s">
        <v>96</v>
      </c>
      <c r="B14" t="s">
        <v>159</v>
      </c>
      <c r="C14" t="s">
        <v>160</v>
      </c>
      <c r="F14" t="s">
        <v>161</v>
      </c>
      <c r="G14" s="16">
        <v>0.05</v>
      </c>
    </row>
    <row r="15" spans="1:10">
      <c r="A15" t="s">
        <v>162</v>
      </c>
      <c r="B15" t="s">
        <v>157</v>
      </c>
      <c r="C15" t="s">
        <v>163</v>
      </c>
      <c r="F15" t="s">
        <v>154</v>
      </c>
    </row>
    <row r="16" spans="1:10">
      <c r="A16" t="s">
        <v>162</v>
      </c>
      <c r="B16" t="s">
        <v>164</v>
      </c>
      <c r="C16" t="s">
        <v>165</v>
      </c>
      <c r="F16" t="s">
        <v>166</v>
      </c>
      <c r="G16" s="16" t="s">
        <v>167</v>
      </c>
    </row>
    <row r="17" spans="1:7">
      <c r="A17" t="s">
        <v>162</v>
      </c>
      <c r="B17" t="s">
        <v>168</v>
      </c>
      <c r="C17" t="s">
        <v>169</v>
      </c>
      <c r="F17" t="s">
        <v>170</v>
      </c>
    </row>
    <row r="18" spans="1:7">
      <c r="A18" t="s">
        <v>162</v>
      </c>
      <c r="B18" t="s">
        <v>171</v>
      </c>
      <c r="C18" t="s">
        <v>172</v>
      </c>
      <c r="F18" t="s">
        <v>170</v>
      </c>
    </row>
    <row r="19" spans="1:7">
      <c r="A19" t="s">
        <v>162</v>
      </c>
      <c r="B19" t="s">
        <v>173</v>
      </c>
      <c r="C19" t="s">
        <v>174</v>
      </c>
      <c r="F19" t="s">
        <v>136</v>
      </c>
    </row>
    <row r="20" spans="1:7" ht="45">
      <c r="A20" t="s">
        <v>162</v>
      </c>
      <c r="B20" t="s">
        <v>175</v>
      </c>
      <c r="C20" s="5" t="s">
        <v>176</v>
      </c>
      <c r="D20" s="4" t="s">
        <v>177</v>
      </c>
      <c r="E20" s="6" t="s">
        <v>178</v>
      </c>
      <c r="F20" t="s">
        <v>136</v>
      </c>
      <c r="G20" s="6" t="s">
        <v>179</v>
      </c>
    </row>
    <row r="21" spans="1:7">
      <c r="A21" t="s">
        <v>162</v>
      </c>
      <c r="B21" t="s">
        <v>180</v>
      </c>
      <c r="C21" t="s">
        <v>181</v>
      </c>
      <c r="F21" t="s">
        <v>136</v>
      </c>
      <c r="G21" s="6" t="s">
        <v>182</v>
      </c>
    </row>
    <row r="22" spans="1:7">
      <c r="A22" t="s">
        <v>162</v>
      </c>
      <c r="B22" t="s">
        <v>183</v>
      </c>
      <c r="C22" t="s">
        <v>184</v>
      </c>
      <c r="F22" t="s">
        <v>166</v>
      </c>
      <c r="G22" s="16" t="s">
        <v>185</v>
      </c>
    </row>
    <row r="23" spans="1:7">
      <c r="A23" t="s">
        <v>13</v>
      </c>
      <c r="B23" t="s">
        <v>186</v>
      </c>
      <c r="C23" t="s">
        <v>187</v>
      </c>
      <c r="F23" t="s">
        <v>154</v>
      </c>
    </row>
    <row r="24" spans="1:7">
      <c r="A24" t="s">
        <v>13</v>
      </c>
      <c r="B24" t="s">
        <v>188</v>
      </c>
      <c r="C24" t="s">
        <v>189</v>
      </c>
      <c r="F24" t="s">
        <v>166</v>
      </c>
    </row>
    <row r="25" spans="1:7">
      <c r="A25" t="s">
        <v>13</v>
      </c>
      <c r="B25" t="s">
        <v>190</v>
      </c>
      <c r="C25" t="s">
        <v>191</v>
      </c>
      <c r="F25" t="s">
        <v>170</v>
      </c>
    </row>
    <row r="26" spans="1:7">
      <c r="A26" t="s">
        <v>13</v>
      </c>
      <c r="B26" t="s">
        <v>192</v>
      </c>
      <c r="C26" t="s">
        <v>193</v>
      </c>
      <c r="F26" t="s">
        <v>170</v>
      </c>
    </row>
    <row r="27" spans="1:7">
      <c r="A27" t="s">
        <v>13</v>
      </c>
      <c r="B27" t="s">
        <v>194</v>
      </c>
      <c r="C27" t="s">
        <v>195</v>
      </c>
      <c r="F27" t="s">
        <v>170</v>
      </c>
    </row>
    <row r="28" spans="1:7">
      <c r="A28" t="s">
        <v>13</v>
      </c>
      <c r="B28" t="s">
        <v>196</v>
      </c>
      <c r="C28" t="s">
        <v>197</v>
      </c>
      <c r="D28" t="s">
        <v>198</v>
      </c>
      <c r="E28" t="s">
        <v>199</v>
      </c>
    </row>
    <row r="29" spans="1:7">
      <c r="A29" t="s">
        <v>13</v>
      </c>
      <c r="B29" t="s">
        <v>200</v>
      </c>
      <c r="C29" t="s">
        <v>201</v>
      </c>
      <c r="F29" t="s">
        <v>202</v>
      </c>
    </row>
    <row r="30" spans="1:7">
      <c r="A30" t="s">
        <v>13</v>
      </c>
      <c r="B30" t="s">
        <v>203</v>
      </c>
      <c r="C30" t="s">
        <v>204</v>
      </c>
      <c r="D30" t="s">
        <v>205</v>
      </c>
      <c r="E30" t="s">
        <v>206</v>
      </c>
      <c r="F30" t="s">
        <v>207</v>
      </c>
    </row>
    <row r="31" spans="1:7">
      <c r="A31" t="s">
        <v>13</v>
      </c>
      <c r="B31" t="s">
        <v>208</v>
      </c>
      <c r="C31" t="s">
        <v>209</v>
      </c>
    </row>
    <row r="32" spans="1:7">
      <c r="A32" t="s">
        <v>13</v>
      </c>
      <c r="B32" t="s">
        <v>210</v>
      </c>
      <c r="C32" t="s">
        <v>211</v>
      </c>
    </row>
    <row r="33" spans="1:7">
      <c r="A33" t="s">
        <v>13</v>
      </c>
      <c r="B33" t="s">
        <v>212</v>
      </c>
      <c r="C33" t="s">
        <v>213</v>
      </c>
      <c r="D33" t="s">
        <v>214</v>
      </c>
      <c r="E33" t="s">
        <v>215</v>
      </c>
    </row>
    <row r="34" spans="1:7" ht="60">
      <c r="A34" t="s">
        <v>13</v>
      </c>
      <c r="B34" t="s">
        <v>216</v>
      </c>
      <c r="C34" t="s">
        <v>217</v>
      </c>
      <c r="D34" t="s">
        <v>218</v>
      </c>
      <c r="E34" t="s">
        <v>219</v>
      </c>
      <c r="G34" s="16" t="s">
        <v>220</v>
      </c>
    </row>
    <row r="35" spans="1:7">
      <c r="A35" t="s">
        <v>13</v>
      </c>
      <c r="B35" t="s">
        <v>221</v>
      </c>
      <c r="C35" t="s">
        <v>222</v>
      </c>
      <c r="G35" s="16" t="s">
        <v>223</v>
      </c>
    </row>
    <row r="36" spans="1:7">
      <c r="A36" t="s">
        <v>13</v>
      </c>
      <c r="B36" t="s">
        <v>224</v>
      </c>
      <c r="C36" t="s">
        <v>225</v>
      </c>
    </row>
    <row r="37" spans="1:7">
      <c r="A37" t="s">
        <v>13</v>
      </c>
      <c r="B37" t="s">
        <v>226</v>
      </c>
      <c r="C37" t="s">
        <v>225</v>
      </c>
    </row>
    <row r="38" spans="1:7">
      <c r="A38" t="s">
        <v>13</v>
      </c>
      <c r="B38" t="s">
        <v>227</v>
      </c>
      <c r="C38" t="s">
        <v>228</v>
      </c>
      <c r="F38" t="s">
        <v>229</v>
      </c>
    </row>
    <row r="39" spans="1:7" ht="135">
      <c r="A39" t="s">
        <v>13</v>
      </c>
      <c r="B39" t="s">
        <v>230</v>
      </c>
      <c r="C39" t="s">
        <v>231</v>
      </c>
      <c r="G39" s="6" t="s">
        <v>232</v>
      </c>
    </row>
    <row r="40" spans="1:7">
      <c r="A40" t="s">
        <v>13</v>
      </c>
      <c r="B40" t="s">
        <v>233</v>
      </c>
      <c r="C40" t="s">
        <v>234</v>
      </c>
    </row>
    <row r="41" spans="1:7">
      <c r="A41" t="s">
        <v>21</v>
      </c>
      <c r="B41" t="s">
        <v>235</v>
      </c>
      <c r="C41" t="s">
        <v>236</v>
      </c>
      <c r="D41" t="s">
        <v>237</v>
      </c>
      <c r="F41" t="s">
        <v>154</v>
      </c>
    </row>
    <row r="42" spans="1:7">
      <c r="A42" t="s">
        <v>21</v>
      </c>
      <c r="B42" t="s">
        <v>0</v>
      </c>
      <c r="C42" t="s">
        <v>238</v>
      </c>
      <c r="E42" t="s">
        <v>239</v>
      </c>
      <c r="F42" t="s">
        <v>166</v>
      </c>
    </row>
    <row r="43" spans="1:7" ht="45">
      <c r="A43" t="s">
        <v>21</v>
      </c>
      <c r="B43" t="s">
        <v>240</v>
      </c>
      <c r="C43" t="s">
        <v>241</v>
      </c>
      <c r="E43" t="s">
        <v>239</v>
      </c>
      <c r="F43" t="s">
        <v>242</v>
      </c>
      <c r="G43" s="16" t="s">
        <v>243</v>
      </c>
    </row>
    <row r="44" spans="1:7" ht="75">
      <c r="A44" t="s">
        <v>21</v>
      </c>
      <c r="B44" t="s">
        <v>244</v>
      </c>
      <c r="C44" t="s">
        <v>245</v>
      </c>
      <c r="F44" t="s">
        <v>242</v>
      </c>
      <c r="G44" s="16" t="s">
        <v>246</v>
      </c>
    </row>
    <row r="45" spans="1:7" ht="45">
      <c r="A45" t="s">
        <v>21</v>
      </c>
      <c r="B45" t="s">
        <v>247</v>
      </c>
      <c r="C45" t="s">
        <v>248</v>
      </c>
      <c r="F45" t="s">
        <v>242</v>
      </c>
      <c r="G45" s="16" t="s">
        <v>249</v>
      </c>
    </row>
    <row r="46" spans="1:7">
      <c r="A46" t="s">
        <v>52</v>
      </c>
      <c r="B46" t="s">
        <v>250</v>
      </c>
      <c r="C46" t="s">
        <v>251</v>
      </c>
    </row>
    <row r="47" spans="1:7">
      <c r="A47" t="s">
        <v>52</v>
      </c>
      <c r="B47" t="s">
        <v>247</v>
      </c>
      <c r="C47" t="s">
        <v>252</v>
      </c>
    </row>
    <row r="48" spans="1:7">
      <c r="A48" t="s">
        <v>52</v>
      </c>
      <c r="B48" t="s">
        <v>170</v>
      </c>
      <c r="C48" t="s">
        <v>253</v>
      </c>
    </row>
    <row r="49" spans="1:10" ht="27">
      <c r="A49" t="s">
        <v>52</v>
      </c>
      <c r="B49" t="s">
        <v>254</v>
      </c>
      <c r="C49" t="s">
        <v>255</v>
      </c>
      <c r="F49" t="s">
        <v>256</v>
      </c>
      <c r="G49" s="38" t="s">
        <v>257</v>
      </c>
    </row>
    <row r="50" spans="1:10">
      <c r="A50" t="s">
        <v>52</v>
      </c>
      <c r="B50" t="s">
        <v>258</v>
      </c>
      <c r="C50" t="s">
        <v>259</v>
      </c>
    </row>
    <row r="51" spans="1:10">
      <c r="A51" t="s">
        <v>52</v>
      </c>
      <c r="B51" t="s">
        <v>128</v>
      </c>
      <c r="C51" t="s">
        <v>260</v>
      </c>
      <c r="F51" t="s">
        <v>130</v>
      </c>
      <c r="J51" t="s">
        <v>261</v>
      </c>
    </row>
    <row r="52" spans="1:10">
      <c r="A52" t="s">
        <v>52</v>
      </c>
      <c r="B52" t="s">
        <v>262</v>
      </c>
      <c r="C52" t="s">
        <v>263</v>
      </c>
      <c r="F52" t="s">
        <v>145</v>
      </c>
      <c r="J52" t="s">
        <v>261</v>
      </c>
    </row>
    <row r="53" spans="1:10">
      <c r="A53" t="s">
        <v>52</v>
      </c>
      <c r="B53" t="s">
        <v>264</v>
      </c>
      <c r="C53" t="s">
        <v>265</v>
      </c>
      <c r="F53" t="s">
        <v>142</v>
      </c>
    </row>
    <row r="54" spans="1:10">
      <c r="A54" t="s">
        <v>52</v>
      </c>
      <c r="B54" t="s">
        <v>266</v>
      </c>
      <c r="C54" t="s">
        <v>267</v>
      </c>
      <c r="G54" s="16" t="s">
        <v>268</v>
      </c>
    </row>
    <row r="55" spans="1:10">
      <c r="A55" t="s">
        <v>52</v>
      </c>
      <c r="B55" t="s">
        <v>269</v>
      </c>
      <c r="C55" t="s">
        <v>270</v>
      </c>
    </row>
    <row r="56" spans="1:10">
      <c r="A56" t="s">
        <v>33</v>
      </c>
      <c r="B56" t="s">
        <v>271</v>
      </c>
      <c r="C56" s="1" t="s">
        <v>272</v>
      </c>
    </row>
    <row r="57" spans="1:10">
      <c r="A57" s="4" t="s">
        <v>33</v>
      </c>
      <c r="B57" t="s">
        <v>273</v>
      </c>
      <c r="C57" t="s">
        <v>274</v>
      </c>
    </row>
    <row r="58" spans="1:10">
      <c r="A58" s="4" t="s">
        <v>33</v>
      </c>
      <c r="B58" t="s">
        <v>275</v>
      </c>
      <c r="C58" t="s">
        <v>276</v>
      </c>
    </row>
    <row r="59" spans="1:10">
      <c r="A59" s="4" t="s">
        <v>33</v>
      </c>
      <c r="B59" t="s">
        <v>0</v>
      </c>
      <c r="C59" t="s">
        <v>277</v>
      </c>
      <c r="D59" t="s">
        <v>214</v>
      </c>
      <c r="E59" t="s">
        <v>278</v>
      </c>
    </row>
    <row r="60" spans="1:10">
      <c r="A60" s="4" t="s">
        <v>33</v>
      </c>
      <c r="B60" t="s">
        <v>279</v>
      </c>
      <c r="C60" t="s">
        <v>280</v>
      </c>
    </row>
    <row r="61" spans="1:10" ht="57.75">
      <c r="A61" s="4" t="s">
        <v>33</v>
      </c>
      <c r="B61" t="s">
        <v>281</v>
      </c>
      <c r="C61" s="6" t="s">
        <v>282</v>
      </c>
      <c r="D61" s="6" t="s">
        <v>283</v>
      </c>
      <c r="E61" s="6" t="s">
        <v>284</v>
      </c>
      <c r="F61" t="s">
        <v>229</v>
      </c>
      <c r="J61" t="s">
        <v>285</v>
      </c>
    </row>
    <row r="62" spans="1:10">
      <c r="A62" s="4" t="s">
        <v>33</v>
      </c>
      <c r="B62" t="s">
        <v>286</v>
      </c>
      <c r="C62" s="1" t="s">
        <v>287</v>
      </c>
      <c r="D62" s="6"/>
      <c r="E62" s="6"/>
    </row>
    <row r="63" spans="1:10">
      <c r="A63" s="4" t="s">
        <v>33</v>
      </c>
      <c r="B63" t="s">
        <v>288</v>
      </c>
      <c r="C63" s="1" t="s">
        <v>289</v>
      </c>
      <c r="D63" s="6"/>
      <c r="E63" s="6"/>
    </row>
    <row r="64" spans="1:10">
      <c r="A64" s="4" t="s">
        <v>33</v>
      </c>
      <c r="B64" t="s">
        <v>290</v>
      </c>
      <c r="C64" s="1" t="s">
        <v>291</v>
      </c>
      <c r="D64" s="6"/>
      <c r="E64" s="6"/>
    </row>
    <row r="65" spans="1:10">
      <c r="A65" t="s">
        <v>80</v>
      </c>
      <c r="B65" t="s">
        <v>292</v>
      </c>
      <c r="C65" t="s">
        <v>293</v>
      </c>
    </row>
    <row r="66" spans="1:10">
      <c r="A66" t="s">
        <v>80</v>
      </c>
      <c r="B66" t="s">
        <v>0</v>
      </c>
      <c r="C66" t="s">
        <v>294</v>
      </c>
      <c r="J66" t="s">
        <v>285</v>
      </c>
    </row>
    <row r="67" spans="1:10">
      <c r="A67" t="s">
        <v>80</v>
      </c>
      <c r="B67" t="s">
        <v>227</v>
      </c>
      <c r="C67" t="s">
        <v>295</v>
      </c>
      <c r="F67" t="s">
        <v>296</v>
      </c>
    </row>
    <row r="68" spans="1:10">
      <c r="A68" t="s">
        <v>80</v>
      </c>
      <c r="B68" t="s">
        <v>297</v>
      </c>
      <c r="C68" t="s">
        <v>298</v>
      </c>
      <c r="F68" t="s">
        <v>296</v>
      </c>
    </row>
    <row r="69" spans="1:10">
      <c r="A69" t="s">
        <v>80</v>
      </c>
      <c r="B69" t="s">
        <v>299</v>
      </c>
      <c r="C69" t="s">
        <v>300</v>
      </c>
      <c r="F69" t="s">
        <v>296</v>
      </c>
    </row>
    <row r="70" spans="1:10">
      <c r="A70" t="s">
        <v>80</v>
      </c>
      <c r="B70" t="s">
        <v>301</v>
      </c>
      <c r="C70" t="s">
        <v>302</v>
      </c>
      <c r="F70" t="s">
        <v>296</v>
      </c>
      <c r="G70" s="16" t="s">
        <v>303</v>
      </c>
    </row>
    <row r="71" spans="1:10" ht="45">
      <c r="A71" t="s">
        <v>80</v>
      </c>
      <c r="B71" t="s">
        <v>304</v>
      </c>
      <c r="C71" t="s">
        <v>305</v>
      </c>
      <c r="F71" t="s">
        <v>296</v>
      </c>
      <c r="G71" s="16" t="s">
        <v>306</v>
      </c>
    </row>
    <row r="72" spans="1:10">
      <c r="A72" t="s">
        <v>80</v>
      </c>
      <c r="B72" t="s">
        <v>307</v>
      </c>
      <c r="C72" t="s">
        <v>308</v>
      </c>
    </row>
    <row r="73" spans="1:10">
      <c r="A73" t="s">
        <v>80</v>
      </c>
      <c r="B73" t="s">
        <v>309</v>
      </c>
      <c r="C73" t="s">
        <v>310</v>
      </c>
    </row>
    <row r="74" spans="1:10">
      <c r="A74" t="s">
        <v>80</v>
      </c>
      <c r="B74" s="4" t="s">
        <v>311</v>
      </c>
      <c r="C74"/>
    </row>
    <row r="75" spans="1:10">
      <c r="A75" t="s">
        <v>80</v>
      </c>
      <c r="B75" s="4" t="s">
        <v>312</v>
      </c>
      <c r="C75"/>
    </row>
    <row r="76" spans="1:10">
      <c r="A76" t="s">
        <v>80</v>
      </c>
      <c r="B76" s="4" t="s">
        <v>313</v>
      </c>
      <c r="C76"/>
    </row>
    <row r="77" spans="1:10">
      <c r="A77" t="s">
        <v>80</v>
      </c>
      <c r="B77" s="4" t="s">
        <v>314</v>
      </c>
      <c r="C77"/>
    </row>
    <row r="78" spans="1:10">
      <c r="A78" s="4" t="s">
        <v>80</v>
      </c>
      <c r="B78" s="4" t="s">
        <v>315</v>
      </c>
      <c r="C78"/>
    </row>
    <row r="79" spans="1:10">
      <c r="A79" t="s">
        <v>80</v>
      </c>
      <c r="B79" t="s">
        <v>140</v>
      </c>
      <c r="C79" t="s">
        <v>316</v>
      </c>
      <c r="F79" t="s">
        <v>142</v>
      </c>
    </row>
    <row r="80" spans="1:10">
      <c r="A80" s="4" t="s">
        <v>80</v>
      </c>
      <c r="B80" s="4" t="s">
        <v>317</v>
      </c>
      <c r="C80" s="4" t="s">
        <v>318</v>
      </c>
      <c r="F80" t="s">
        <v>145</v>
      </c>
    </row>
    <row r="81" spans="1:10">
      <c r="A81" t="s">
        <v>80</v>
      </c>
      <c r="B81" t="s">
        <v>319</v>
      </c>
      <c r="C81" t="s">
        <v>320</v>
      </c>
    </row>
    <row r="82" spans="1:10">
      <c r="A82" t="s">
        <v>80</v>
      </c>
      <c r="B82" t="s">
        <v>321</v>
      </c>
      <c r="C82" s="4" t="s">
        <v>322</v>
      </c>
      <c r="F82" t="s">
        <v>133</v>
      </c>
    </row>
    <row r="83" spans="1:10">
      <c r="A83" t="s">
        <v>80</v>
      </c>
      <c r="B83" t="s">
        <v>323</v>
      </c>
      <c r="C83" t="s">
        <v>324</v>
      </c>
      <c r="F83" t="s">
        <v>325</v>
      </c>
      <c r="J83" t="s">
        <v>285</v>
      </c>
    </row>
    <row r="84" spans="1:10">
      <c r="A84" t="s">
        <v>80</v>
      </c>
      <c r="B84" t="s">
        <v>326</v>
      </c>
      <c r="C84" t="s">
        <v>327</v>
      </c>
    </row>
    <row r="85" spans="1:10">
      <c r="A85" t="s">
        <v>80</v>
      </c>
      <c r="B85" t="s">
        <v>328</v>
      </c>
      <c r="C85" t="s">
        <v>329</v>
      </c>
      <c r="F85" t="s">
        <v>330</v>
      </c>
    </row>
    <row r="86" spans="1:10">
      <c r="A86" s="4" t="s">
        <v>80</v>
      </c>
      <c r="B86" s="4" t="s">
        <v>331</v>
      </c>
      <c r="C86" s="4" t="s">
        <v>332</v>
      </c>
      <c r="J86" t="s">
        <v>285</v>
      </c>
    </row>
    <row r="87" spans="1:10">
      <c r="A87" s="4" t="s">
        <v>80</v>
      </c>
      <c r="B87" s="4" t="s">
        <v>333</v>
      </c>
      <c r="C87" s="4" t="s">
        <v>334</v>
      </c>
    </row>
    <row r="88" spans="1:10">
      <c r="A88" s="4" t="s">
        <v>80</v>
      </c>
      <c r="B88" s="4" t="s">
        <v>335</v>
      </c>
      <c r="C88" s="4"/>
    </row>
    <row r="89" spans="1:10">
      <c r="A89" s="4" t="s">
        <v>80</v>
      </c>
      <c r="B89" s="4" t="s">
        <v>336</v>
      </c>
      <c r="C89" s="4" t="s">
        <v>337</v>
      </c>
    </row>
    <row r="90" spans="1:10">
      <c r="A90" s="4" t="s">
        <v>80</v>
      </c>
      <c r="B90" s="4" t="s">
        <v>338</v>
      </c>
      <c r="C90" s="4" t="s">
        <v>339</v>
      </c>
    </row>
    <row r="91" spans="1:10">
      <c r="A91" t="s">
        <v>47</v>
      </c>
      <c r="B91" t="s">
        <v>292</v>
      </c>
      <c r="C91" t="s">
        <v>340</v>
      </c>
    </row>
    <row r="92" spans="1:10">
      <c r="A92" t="s">
        <v>47</v>
      </c>
      <c r="B92" t="s">
        <v>0</v>
      </c>
      <c r="C92" t="s">
        <v>341</v>
      </c>
    </row>
    <row r="93" spans="1:10">
      <c r="A93" t="s">
        <v>47</v>
      </c>
      <c r="B93" t="s">
        <v>192</v>
      </c>
      <c r="C93" t="s">
        <v>342</v>
      </c>
    </row>
    <row r="94" spans="1:10">
      <c r="A94" t="s">
        <v>47</v>
      </c>
      <c r="B94" t="s">
        <v>194</v>
      </c>
      <c r="C94" t="s">
        <v>343</v>
      </c>
    </row>
    <row r="95" spans="1:10">
      <c r="A95" t="s">
        <v>47</v>
      </c>
      <c r="B95" t="s">
        <v>344</v>
      </c>
      <c r="C95" t="s">
        <v>345</v>
      </c>
      <c r="D95" t="s">
        <v>346</v>
      </c>
    </row>
    <row r="96" spans="1:10">
      <c r="A96" t="s">
        <v>47</v>
      </c>
      <c r="B96" t="s">
        <v>286</v>
      </c>
      <c r="C96" s="1" t="s">
        <v>287</v>
      </c>
    </row>
    <row r="97" spans="1:6">
      <c r="A97" t="s">
        <v>47</v>
      </c>
      <c r="B97" t="s">
        <v>288</v>
      </c>
      <c r="C97" s="1" t="s">
        <v>289</v>
      </c>
    </row>
    <row r="98" spans="1:6">
      <c r="A98" t="s">
        <v>47</v>
      </c>
      <c r="B98" t="s">
        <v>290</v>
      </c>
      <c r="C98" s="1" t="s">
        <v>291</v>
      </c>
    </row>
    <row r="99" spans="1:6">
      <c r="A99" t="s">
        <v>47</v>
      </c>
      <c r="B99" t="s">
        <v>347</v>
      </c>
      <c r="C99" t="s">
        <v>348</v>
      </c>
      <c r="D99" t="s">
        <v>349</v>
      </c>
      <c r="E99" t="s">
        <v>350</v>
      </c>
    </row>
    <row r="100" spans="1:6">
      <c r="A100" t="s">
        <v>47</v>
      </c>
      <c r="B100" t="s">
        <v>351</v>
      </c>
      <c r="C100" t="s">
        <v>352</v>
      </c>
      <c r="D100" t="s">
        <v>349</v>
      </c>
      <c r="E100" t="s">
        <v>350</v>
      </c>
    </row>
    <row r="101" spans="1:6">
      <c r="A101" t="s">
        <v>47</v>
      </c>
      <c r="B101" t="s">
        <v>271</v>
      </c>
      <c r="C101" s="1" t="s">
        <v>353</v>
      </c>
    </row>
    <row r="102" spans="1:6">
      <c r="A102" t="s">
        <v>42</v>
      </c>
      <c r="B102" t="s">
        <v>292</v>
      </c>
      <c r="C102" t="s">
        <v>340</v>
      </c>
    </row>
    <row r="103" spans="1:6">
      <c r="A103" t="s">
        <v>42</v>
      </c>
      <c r="B103" t="s">
        <v>0</v>
      </c>
      <c r="C103" t="s">
        <v>341</v>
      </c>
    </row>
    <row r="104" spans="1:6" ht="105">
      <c r="A104" t="s">
        <v>42</v>
      </c>
      <c r="B104" t="s">
        <v>354</v>
      </c>
      <c r="C104" t="s">
        <v>355</v>
      </c>
      <c r="D104" s="6" t="s">
        <v>356</v>
      </c>
      <c r="E104" s="6" t="s">
        <v>357</v>
      </c>
      <c r="F104" t="s">
        <v>358</v>
      </c>
    </row>
    <row r="105" spans="1:6">
      <c r="A105" t="s">
        <v>42</v>
      </c>
      <c r="B105" t="s">
        <v>170</v>
      </c>
      <c r="C105" t="s">
        <v>359</v>
      </c>
    </row>
    <row r="106" spans="1:6">
      <c r="A106" t="s">
        <v>42</v>
      </c>
      <c r="B106" t="s">
        <v>360</v>
      </c>
      <c r="C106" t="s">
        <v>361</v>
      </c>
    </row>
    <row r="107" spans="1:6">
      <c r="A107" t="s">
        <v>42</v>
      </c>
      <c r="B107" t="s">
        <v>271</v>
      </c>
      <c r="C107" t="s">
        <v>362</v>
      </c>
      <c r="F107" t="s">
        <v>363</v>
      </c>
    </row>
    <row r="108" spans="1:6">
      <c r="A108" t="s">
        <v>42</v>
      </c>
      <c r="B108" t="s">
        <v>364</v>
      </c>
      <c r="C108" t="s">
        <v>365</v>
      </c>
      <c r="F108" t="s">
        <v>366</v>
      </c>
    </row>
    <row r="109" spans="1:6">
      <c r="A109" t="s">
        <v>42</v>
      </c>
      <c r="B109" t="s">
        <v>367</v>
      </c>
      <c r="C109" t="s">
        <v>368</v>
      </c>
      <c r="F109" t="s">
        <v>145</v>
      </c>
    </row>
    <row r="110" spans="1:6">
      <c r="A110" t="s">
        <v>42</v>
      </c>
      <c r="B110" t="s">
        <v>369</v>
      </c>
      <c r="C110" t="s">
        <v>370</v>
      </c>
      <c r="F110" t="s">
        <v>142</v>
      </c>
    </row>
    <row r="111" spans="1:6" ht="60">
      <c r="A111" t="s">
        <v>42</v>
      </c>
      <c r="B111" t="s">
        <v>344</v>
      </c>
      <c r="C111" s="4" t="s">
        <v>371</v>
      </c>
      <c r="D111" s="6" t="s">
        <v>372</v>
      </c>
      <c r="E111" s="6" t="s">
        <v>373</v>
      </c>
    </row>
    <row r="112" spans="1:6">
      <c r="A112" t="s">
        <v>42</v>
      </c>
      <c r="B112" s="4" t="s">
        <v>374</v>
      </c>
      <c r="C112" t="s">
        <v>375</v>
      </c>
      <c r="D112" t="s">
        <v>214</v>
      </c>
    </row>
    <row r="113" spans="1:10">
      <c r="A113" t="s">
        <v>42</v>
      </c>
      <c r="B113" t="s">
        <v>286</v>
      </c>
      <c r="C113" s="1" t="s">
        <v>287</v>
      </c>
    </row>
    <row r="114" spans="1:10">
      <c r="A114" t="s">
        <v>42</v>
      </c>
      <c r="B114" t="s">
        <v>288</v>
      </c>
      <c r="C114" s="1" t="s">
        <v>289</v>
      </c>
    </row>
    <row r="115" spans="1:10">
      <c r="A115" t="s">
        <v>42</v>
      </c>
      <c r="B115" t="s">
        <v>290</v>
      </c>
      <c r="C115" s="1" t="s">
        <v>291</v>
      </c>
    </row>
    <row r="116" spans="1:10">
      <c r="A116" t="s">
        <v>28</v>
      </c>
      <c r="B116" t="s">
        <v>0</v>
      </c>
      <c r="C116" t="s">
        <v>376</v>
      </c>
      <c r="F116" t="s">
        <v>166</v>
      </c>
    </row>
    <row r="117" spans="1:10">
      <c r="A117" t="s">
        <v>28</v>
      </c>
      <c r="B117" t="s">
        <v>377</v>
      </c>
      <c r="C117" t="s">
        <v>378</v>
      </c>
      <c r="F117" t="s">
        <v>166</v>
      </c>
    </row>
    <row r="118" spans="1:10">
      <c r="A118" t="s">
        <v>28</v>
      </c>
      <c r="B118" t="s">
        <v>379</v>
      </c>
      <c r="C118" t="s">
        <v>380</v>
      </c>
      <c r="F118" t="s">
        <v>381</v>
      </c>
    </row>
    <row r="119" spans="1:10">
      <c r="A119" t="s">
        <v>64</v>
      </c>
      <c r="B119" t="s">
        <v>382</v>
      </c>
      <c r="C119" t="s">
        <v>383</v>
      </c>
    </row>
    <row r="120" spans="1:10">
      <c r="A120" t="s">
        <v>64</v>
      </c>
      <c r="B120" t="s">
        <v>384</v>
      </c>
      <c r="C120"/>
    </row>
    <row r="121" spans="1:10">
      <c r="A121" t="s">
        <v>64</v>
      </c>
      <c r="B121" t="s">
        <v>286</v>
      </c>
      <c r="C121" s="1" t="s">
        <v>287</v>
      </c>
      <c r="F121" t="s">
        <v>385</v>
      </c>
    </row>
    <row r="122" spans="1:10">
      <c r="A122" t="s">
        <v>64</v>
      </c>
      <c r="B122" t="s">
        <v>288</v>
      </c>
      <c r="C122" s="1" t="s">
        <v>289</v>
      </c>
      <c r="F122" t="s">
        <v>166</v>
      </c>
    </row>
    <row r="123" spans="1:10">
      <c r="A123" t="s">
        <v>64</v>
      </c>
      <c r="B123" t="s">
        <v>290</v>
      </c>
      <c r="C123" s="1" t="s">
        <v>291</v>
      </c>
      <c r="F123" t="s">
        <v>386</v>
      </c>
    </row>
    <row r="124" spans="1:10">
      <c r="B124" t="s">
        <v>387</v>
      </c>
      <c r="C124" t="s">
        <v>388</v>
      </c>
    </row>
    <row r="125" spans="1:10">
      <c r="A125" t="s">
        <v>74</v>
      </c>
      <c r="B125" t="s">
        <v>143</v>
      </c>
      <c r="C125"/>
      <c r="F125" t="s">
        <v>145</v>
      </c>
    </row>
    <row r="126" spans="1:10">
      <c r="A126" t="s">
        <v>74</v>
      </c>
      <c r="B126" t="s">
        <v>140</v>
      </c>
      <c r="C126"/>
      <c r="F126" t="s">
        <v>142</v>
      </c>
    </row>
    <row r="127" spans="1:10">
      <c r="A127" t="s">
        <v>74</v>
      </c>
      <c r="B127" t="s">
        <v>192</v>
      </c>
      <c r="C127" t="s">
        <v>389</v>
      </c>
      <c r="F127" t="s">
        <v>170</v>
      </c>
      <c r="J127" t="s">
        <v>285</v>
      </c>
    </row>
    <row r="128" spans="1:10">
      <c r="A128" t="s">
        <v>74</v>
      </c>
      <c r="B128" t="s">
        <v>194</v>
      </c>
      <c r="C128" t="s">
        <v>390</v>
      </c>
      <c r="F128" t="s">
        <v>170</v>
      </c>
      <c r="J128" t="s">
        <v>391</v>
      </c>
    </row>
    <row r="129" spans="1:7">
      <c r="A129" t="s">
        <v>74</v>
      </c>
      <c r="B129" t="s">
        <v>392</v>
      </c>
      <c r="C129" t="s">
        <v>393</v>
      </c>
      <c r="F129" t="s">
        <v>136</v>
      </c>
    </row>
    <row r="130" spans="1:7">
      <c r="A130" t="s">
        <v>69</v>
      </c>
      <c r="B130" t="s">
        <v>394</v>
      </c>
      <c r="C130"/>
      <c r="F130" t="s">
        <v>127</v>
      </c>
    </row>
    <row r="131" spans="1:7">
      <c r="A131" t="s">
        <v>69</v>
      </c>
      <c r="B131" t="s">
        <v>395</v>
      </c>
      <c r="C131"/>
      <c r="F131" t="s">
        <v>142</v>
      </c>
    </row>
    <row r="132" spans="1:7">
      <c r="A132" t="s">
        <v>69</v>
      </c>
      <c r="B132" t="s">
        <v>396</v>
      </c>
      <c r="C132"/>
    </row>
    <row r="133" spans="1:7">
      <c r="A133" t="s">
        <v>69</v>
      </c>
      <c r="B133" t="s">
        <v>397</v>
      </c>
      <c r="C133" t="s">
        <v>398</v>
      </c>
      <c r="G133" s="16" t="s">
        <v>399</v>
      </c>
    </row>
    <row r="134" spans="1:7">
      <c r="A134" t="s">
        <v>69</v>
      </c>
      <c r="B134" t="s">
        <v>400</v>
      </c>
      <c r="C134" t="s">
        <v>401</v>
      </c>
    </row>
    <row r="135" spans="1:7">
      <c r="A135" t="s">
        <v>69</v>
      </c>
      <c r="B135" s="4" t="s">
        <v>402</v>
      </c>
      <c r="C135"/>
    </row>
    <row r="136" spans="1:7">
      <c r="A136" t="s">
        <v>69</v>
      </c>
      <c r="B136" t="s">
        <v>403</v>
      </c>
      <c r="C136"/>
    </row>
    <row r="137" spans="1:7">
      <c r="A137" t="s">
        <v>69</v>
      </c>
      <c r="B137" t="s">
        <v>404</v>
      </c>
      <c r="C137" t="s">
        <v>405</v>
      </c>
    </row>
    <row r="138" spans="1:7">
      <c r="B138" t="s">
        <v>387</v>
      </c>
      <c r="C138" t="s">
        <v>406</v>
      </c>
    </row>
    <row r="139" spans="1:7">
      <c r="A139" t="s">
        <v>37</v>
      </c>
      <c r="B139" t="s">
        <v>344</v>
      </c>
      <c r="C139"/>
    </row>
    <row r="140" spans="1:7">
      <c r="A140" t="s">
        <v>37</v>
      </c>
      <c r="B140" t="s">
        <v>0</v>
      </c>
      <c r="C140" t="s">
        <v>407</v>
      </c>
    </row>
    <row r="141" spans="1:7">
      <c r="A141" t="s">
        <v>37</v>
      </c>
      <c r="B141" t="s">
        <v>247</v>
      </c>
      <c r="C141" t="s">
        <v>408</v>
      </c>
    </row>
    <row r="142" spans="1:7">
      <c r="A142" t="s">
        <v>37</v>
      </c>
      <c r="B142" t="s">
        <v>409</v>
      </c>
      <c r="C142" t="s">
        <v>410</v>
      </c>
    </row>
    <row r="143" spans="1:7">
      <c r="A143" t="s">
        <v>37</v>
      </c>
      <c r="B143" t="s">
        <v>411</v>
      </c>
      <c r="C143" t="s">
        <v>412</v>
      </c>
    </row>
    <row r="144" spans="1:7" s="4" customFormat="1">
      <c r="A144" s="4" t="s">
        <v>37</v>
      </c>
      <c r="B144" s="4" t="s">
        <v>413</v>
      </c>
      <c r="C144" s="4" t="s">
        <v>414</v>
      </c>
      <c r="D144" s="4" t="s">
        <v>214</v>
      </c>
      <c r="E144" s="4" t="s">
        <v>415</v>
      </c>
      <c r="G144" s="6"/>
    </row>
    <row r="145" spans="1:7">
      <c r="A145" t="s">
        <v>37</v>
      </c>
      <c r="B145" t="s">
        <v>416</v>
      </c>
      <c r="C145" t="s">
        <v>417</v>
      </c>
    </row>
    <row r="146" spans="1:7">
      <c r="A146" t="s">
        <v>37</v>
      </c>
      <c r="B146" t="s">
        <v>418</v>
      </c>
      <c r="C146" t="s">
        <v>419</v>
      </c>
    </row>
    <row r="147" spans="1:7">
      <c r="A147" s="4" t="s">
        <v>89</v>
      </c>
      <c r="B147" s="4" t="s">
        <v>292</v>
      </c>
      <c r="C147" s="5" t="s">
        <v>420</v>
      </c>
    </row>
    <row r="148" spans="1:7">
      <c r="A148" s="4" t="s">
        <v>89</v>
      </c>
      <c r="B148" s="4" t="s">
        <v>170</v>
      </c>
      <c r="C148" s="5" t="s">
        <v>421</v>
      </c>
    </row>
    <row r="149" spans="1:7">
      <c r="A149" s="4" t="s">
        <v>89</v>
      </c>
      <c r="B149" s="4" t="s">
        <v>299</v>
      </c>
      <c r="C149" s="5" t="s">
        <v>422</v>
      </c>
    </row>
    <row r="150" spans="1:7">
      <c r="A150" s="4" t="s">
        <v>89</v>
      </c>
      <c r="B150" s="4" t="s">
        <v>227</v>
      </c>
      <c r="C150" s="5" t="s">
        <v>423</v>
      </c>
    </row>
    <row r="151" spans="1:7">
      <c r="A151" s="4" t="s">
        <v>89</v>
      </c>
      <c r="B151" s="4" t="s">
        <v>424</v>
      </c>
      <c r="C151" s="5" t="s">
        <v>425</v>
      </c>
    </row>
    <row r="152" spans="1:7">
      <c r="A152" s="4" t="s">
        <v>89</v>
      </c>
      <c r="B152" s="4" t="s">
        <v>426</v>
      </c>
      <c r="C152" s="5" t="s">
        <v>427</v>
      </c>
    </row>
    <row r="153" spans="1:7">
      <c r="A153" s="4" t="s">
        <v>89</v>
      </c>
      <c r="B153" s="4" t="s">
        <v>428</v>
      </c>
      <c r="C153" s="5" t="s">
        <v>429</v>
      </c>
    </row>
    <row r="154" spans="1:7">
      <c r="A154" s="4" t="s">
        <v>89</v>
      </c>
      <c r="B154" s="4" t="s">
        <v>430</v>
      </c>
      <c r="C154" s="5" t="s">
        <v>431</v>
      </c>
    </row>
    <row r="155" spans="1:7" ht="60">
      <c r="A155" s="4" t="s">
        <v>89</v>
      </c>
      <c r="B155" s="4" t="s">
        <v>432</v>
      </c>
      <c r="C155" s="5" t="s">
        <v>433</v>
      </c>
      <c r="G155" s="16" t="s">
        <v>434</v>
      </c>
    </row>
    <row r="156" spans="1:7">
      <c r="A156" s="4" t="s">
        <v>89</v>
      </c>
      <c r="B156" s="4" t="s">
        <v>435</v>
      </c>
      <c r="C156" s="5" t="s">
        <v>436</v>
      </c>
    </row>
    <row r="157" spans="1:7">
      <c r="A157" s="4" t="s">
        <v>89</v>
      </c>
      <c r="B157" s="4" t="s">
        <v>437</v>
      </c>
      <c r="C157" s="5" t="s">
        <v>438</v>
      </c>
    </row>
    <row r="158" spans="1:7">
      <c r="A158" s="4" t="s">
        <v>89</v>
      </c>
      <c r="B158" s="4" t="s">
        <v>140</v>
      </c>
      <c r="C158" s="5" t="s">
        <v>439</v>
      </c>
    </row>
    <row r="159" spans="1:7">
      <c r="A159" t="s">
        <v>107</v>
      </c>
      <c r="B159" t="s">
        <v>281</v>
      </c>
      <c r="C159" s="1" t="s">
        <v>440</v>
      </c>
      <c r="D159" t="s">
        <v>441</v>
      </c>
      <c r="E159" t="s">
        <v>442</v>
      </c>
      <c r="F159" t="s">
        <v>127</v>
      </c>
    </row>
    <row r="160" spans="1:7">
      <c r="A160" t="s">
        <v>107</v>
      </c>
      <c r="B160" t="s">
        <v>443</v>
      </c>
      <c r="C160" s="1" t="s">
        <v>444</v>
      </c>
      <c r="D160" t="s">
        <v>445</v>
      </c>
      <c r="F160" t="s">
        <v>446</v>
      </c>
    </row>
    <row r="161" spans="1:7">
      <c r="A161" t="s">
        <v>107</v>
      </c>
      <c r="B161" t="s">
        <v>0</v>
      </c>
      <c r="C161" s="1" t="s">
        <v>447</v>
      </c>
      <c r="F161" t="s">
        <v>166</v>
      </c>
    </row>
    <row r="162" spans="1:7">
      <c r="A162" t="s">
        <v>107</v>
      </c>
      <c r="B162" t="s">
        <v>448</v>
      </c>
      <c r="C162" s="1" t="s">
        <v>449</v>
      </c>
      <c r="F162" t="s">
        <v>136</v>
      </c>
      <c r="G162" s="16" t="s">
        <v>450</v>
      </c>
    </row>
    <row r="163" spans="1:7">
      <c r="A163" t="s">
        <v>107</v>
      </c>
      <c r="B163" t="s">
        <v>286</v>
      </c>
      <c r="C163" s="1" t="s">
        <v>287</v>
      </c>
      <c r="F163" t="s">
        <v>385</v>
      </c>
    </row>
    <row r="164" spans="1:7">
      <c r="A164" t="s">
        <v>107</v>
      </c>
      <c r="B164" t="s">
        <v>288</v>
      </c>
      <c r="C164" s="1" t="s">
        <v>289</v>
      </c>
      <c r="F164" t="s">
        <v>166</v>
      </c>
    </row>
    <row r="165" spans="1:7">
      <c r="A165" t="s">
        <v>107</v>
      </c>
      <c r="B165" t="s">
        <v>290</v>
      </c>
      <c r="C165" s="1" t="s">
        <v>291</v>
      </c>
      <c r="F165" t="s">
        <v>386</v>
      </c>
    </row>
    <row r="166" spans="1:7">
      <c r="A166" t="s">
        <v>112</v>
      </c>
      <c r="B166" t="s">
        <v>451</v>
      </c>
      <c r="C166" s="1" t="s">
        <v>452</v>
      </c>
    </row>
    <row r="167" spans="1:7">
      <c r="A167" t="s">
        <v>112</v>
      </c>
      <c r="B167" t="s">
        <v>170</v>
      </c>
      <c r="C167" s="1" t="s">
        <v>453</v>
      </c>
    </row>
    <row r="168" spans="1:7">
      <c r="A168" t="s">
        <v>112</v>
      </c>
      <c r="B168" t="s">
        <v>454</v>
      </c>
      <c r="C168" s="1" t="s">
        <v>455</v>
      </c>
    </row>
    <row r="169" spans="1:7">
      <c r="A169" t="s">
        <v>112</v>
      </c>
      <c r="B169" t="s">
        <v>456</v>
      </c>
      <c r="C169" s="1" t="s">
        <v>457</v>
      </c>
    </row>
    <row r="170" spans="1:7">
      <c r="A170" t="s">
        <v>112</v>
      </c>
      <c r="B170" t="s">
        <v>458</v>
      </c>
      <c r="C170" s="1" t="s">
        <v>459</v>
      </c>
    </row>
    <row r="171" spans="1:7">
      <c r="A171" t="s">
        <v>112</v>
      </c>
      <c r="B171" t="s">
        <v>460</v>
      </c>
    </row>
    <row r="172" spans="1:7">
      <c r="A172" t="s">
        <v>112</v>
      </c>
      <c r="B172" t="s">
        <v>461</v>
      </c>
    </row>
    <row r="173" spans="1:7">
      <c r="A173" t="s">
        <v>28</v>
      </c>
      <c r="B173" t="s">
        <v>462</v>
      </c>
      <c r="C173" s="1" t="s">
        <v>463</v>
      </c>
      <c r="F173" t="s">
        <v>127</v>
      </c>
    </row>
  </sheetData>
  <sortState xmlns:xlrd2="http://schemas.microsoft.com/office/spreadsheetml/2017/richdata2" ref="A2:J112">
    <sortCondition ref="A2:A112"/>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128</v>
      </c>
      <c r="B1" s="3" t="s">
        <v>137</v>
      </c>
      <c r="C1" s="3" t="s">
        <v>134</v>
      </c>
      <c r="D1" s="3" t="s">
        <v>125</v>
      </c>
      <c r="E1" s="31" t="s">
        <v>464</v>
      </c>
      <c r="F1" s="31" t="s">
        <v>465</v>
      </c>
      <c r="G1" t="s">
        <v>69</v>
      </c>
      <c r="H1" s="3" t="s">
        <v>146</v>
      </c>
      <c r="I1" s="3" t="s">
        <v>466</v>
      </c>
      <c r="K1" t="s">
        <v>467</v>
      </c>
      <c r="M1" t="s">
        <v>468</v>
      </c>
      <c r="N1" t="s">
        <v>469</v>
      </c>
      <c r="P1" s="4" t="s">
        <v>311</v>
      </c>
      <c r="Q1" s="4" t="s">
        <v>312</v>
      </c>
      <c r="R1" s="4" t="s">
        <v>313</v>
      </c>
      <c r="S1" s="4" t="s">
        <v>314</v>
      </c>
      <c r="T1" s="4" t="s">
        <v>315</v>
      </c>
    </row>
    <row r="2" spans="1:20">
      <c r="A2" s="3">
        <v>1</v>
      </c>
      <c r="B2" s="3">
        <v>1</v>
      </c>
      <c r="C2" s="3" t="s">
        <v>470</v>
      </c>
      <c r="D2" s="3" t="s">
        <v>471</v>
      </c>
      <c r="E2" s="31">
        <v>1</v>
      </c>
      <c r="F2" s="31">
        <v>1</v>
      </c>
      <c r="G2">
        <v>1</v>
      </c>
      <c r="H2" s="3" t="s">
        <v>472</v>
      </c>
      <c r="I2" s="3">
        <v>10</v>
      </c>
      <c r="K2" s="32">
        <v>0.1</v>
      </c>
      <c r="M2" s="33">
        <v>1000</v>
      </c>
      <c r="N2" s="33">
        <f>M2*K2</f>
        <v>100</v>
      </c>
    </row>
    <row r="3" spans="1:20">
      <c r="A3" s="3">
        <v>1</v>
      </c>
      <c r="B3" s="3">
        <v>2</v>
      </c>
      <c r="C3" s="3" t="s">
        <v>473</v>
      </c>
      <c r="D3" s="3" t="s">
        <v>474</v>
      </c>
      <c r="E3" s="31">
        <v>1</v>
      </c>
      <c r="F3" s="31">
        <v>5</v>
      </c>
      <c r="G3">
        <v>2</v>
      </c>
      <c r="H3" s="3" t="s">
        <v>475</v>
      </c>
      <c r="I3" s="3">
        <v>200</v>
      </c>
      <c r="K3" s="32">
        <v>0.02</v>
      </c>
      <c r="M3" s="33">
        <v>250</v>
      </c>
      <c r="N3" s="33">
        <f t="shared" ref="N3:N9" si="0">M3*K3</f>
        <v>5</v>
      </c>
    </row>
    <row r="4" spans="1:20">
      <c r="A4" s="3">
        <v>1</v>
      </c>
      <c r="B4" s="3">
        <v>2</v>
      </c>
      <c r="C4" s="3" t="s">
        <v>473</v>
      </c>
      <c r="D4" s="3" t="s">
        <v>476</v>
      </c>
      <c r="E4" s="31">
        <v>2</v>
      </c>
      <c r="F4" s="31"/>
      <c r="G4">
        <v>3</v>
      </c>
      <c r="H4" s="3" t="s">
        <v>477</v>
      </c>
      <c r="I4" s="3">
        <v>15</v>
      </c>
      <c r="K4" s="32">
        <v>0.6</v>
      </c>
      <c r="M4" s="33">
        <v>250</v>
      </c>
      <c r="N4" s="33">
        <f t="shared" si="0"/>
        <v>150</v>
      </c>
    </row>
    <row r="5" spans="1:20">
      <c r="A5" s="3">
        <v>2</v>
      </c>
      <c r="B5" s="3">
        <v>1</v>
      </c>
      <c r="C5" s="3" t="s">
        <v>470</v>
      </c>
      <c r="D5" s="3" t="s">
        <v>478</v>
      </c>
      <c r="E5" s="31">
        <v>3</v>
      </c>
      <c r="F5" s="31"/>
      <c r="G5">
        <v>4</v>
      </c>
      <c r="H5" s="3" t="s">
        <v>479</v>
      </c>
      <c r="I5" s="3">
        <v>1</v>
      </c>
      <c r="K5" s="32">
        <v>0.52</v>
      </c>
      <c r="M5" s="33">
        <v>1000</v>
      </c>
      <c r="N5" s="33">
        <f t="shared" si="0"/>
        <v>520</v>
      </c>
    </row>
    <row r="6" spans="1:20">
      <c r="A6" s="3">
        <v>3</v>
      </c>
      <c r="B6" s="3">
        <v>3</v>
      </c>
      <c r="C6" s="3" t="s">
        <v>80</v>
      </c>
      <c r="D6" s="3" t="s">
        <v>480</v>
      </c>
      <c r="E6" s="31">
        <v>4</v>
      </c>
      <c r="F6" s="31">
        <v>6</v>
      </c>
      <c r="G6">
        <v>5</v>
      </c>
      <c r="H6" s="3" t="s">
        <v>475</v>
      </c>
      <c r="I6" s="3">
        <v>0</v>
      </c>
      <c r="K6" s="32">
        <v>0.1</v>
      </c>
      <c r="M6" s="33">
        <v>555</v>
      </c>
      <c r="N6" s="33">
        <f t="shared" si="0"/>
        <v>55.5</v>
      </c>
    </row>
    <row r="7" spans="1:20">
      <c r="A7" s="3">
        <v>4</v>
      </c>
      <c r="B7" s="3">
        <v>4</v>
      </c>
      <c r="C7" s="3" t="s">
        <v>80</v>
      </c>
      <c r="D7" s="3" t="s">
        <v>481</v>
      </c>
      <c r="E7" s="31"/>
      <c r="F7" s="31">
        <v>5</v>
      </c>
      <c r="G7">
        <v>6</v>
      </c>
      <c r="H7" s="3" t="s">
        <v>477</v>
      </c>
      <c r="I7" s="3">
        <v>256</v>
      </c>
      <c r="K7" s="32">
        <v>1E-3</v>
      </c>
      <c r="M7" s="33">
        <v>789</v>
      </c>
      <c r="N7" s="33">
        <f t="shared" si="0"/>
        <v>0.78900000000000003</v>
      </c>
    </row>
    <row r="8" spans="1:20">
      <c r="A8" s="3">
        <v>5</v>
      </c>
      <c r="B8" s="3">
        <v>7</v>
      </c>
      <c r="C8" s="3" t="s">
        <v>80</v>
      </c>
      <c r="D8" s="3" t="s">
        <v>482</v>
      </c>
      <c r="E8" s="31">
        <v>6</v>
      </c>
      <c r="F8" s="31"/>
      <c r="G8">
        <v>7</v>
      </c>
      <c r="H8" s="3" t="s">
        <v>479</v>
      </c>
      <c r="I8" s="3">
        <v>24</v>
      </c>
      <c r="K8" s="32">
        <v>1E-3</v>
      </c>
      <c r="M8" s="33">
        <v>5</v>
      </c>
      <c r="N8" s="33">
        <f t="shared" si="0"/>
        <v>5.0000000000000001E-3</v>
      </c>
    </row>
    <row r="9" spans="1:20">
      <c r="A9" s="3">
        <v>8</v>
      </c>
      <c r="B9" s="3">
        <v>8</v>
      </c>
      <c r="C9" s="3" t="s">
        <v>80</v>
      </c>
      <c r="D9" s="3" t="s">
        <v>483</v>
      </c>
      <c r="E9" s="31"/>
      <c r="F9" s="31">
        <v>8</v>
      </c>
      <c r="G9">
        <v>8</v>
      </c>
      <c r="H9" s="3" t="s">
        <v>472</v>
      </c>
      <c r="I9" s="3">
        <v>51</v>
      </c>
      <c r="K9" s="32">
        <v>1E-3</v>
      </c>
      <c r="M9" s="33">
        <v>1000000</v>
      </c>
      <c r="N9" s="33">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topLeftCell="A21" zoomScale="85" zoomScaleNormal="85" workbookViewId="0">
      <selection activeCell="C23" sqref="C23"/>
    </sheetView>
  </sheetViews>
  <sheetFormatPr defaultRowHeight="1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ht="30">
      <c r="A1" t="s">
        <v>0</v>
      </c>
      <c r="B1" s="16" t="s">
        <v>484</v>
      </c>
      <c r="C1" s="16" t="s">
        <v>2</v>
      </c>
      <c r="D1" s="16" t="s">
        <v>485</v>
      </c>
    </row>
    <row r="2" spans="1:4">
      <c r="A2" s="10" t="s">
        <v>486</v>
      </c>
      <c r="B2" s="17"/>
      <c r="C2" s="17" t="s">
        <v>487</v>
      </c>
      <c r="D2" s="17"/>
    </row>
    <row r="3" spans="1:4">
      <c r="A3" s="11" t="s">
        <v>488</v>
      </c>
      <c r="B3" s="17"/>
      <c r="C3" s="17" t="s">
        <v>489</v>
      </c>
      <c r="D3" s="17"/>
    </row>
    <row r="4" spans="1:4">
      <c r="A4" s="11" t="s">
        <v>490</v>
      </c>
      <c r="B4" s="17"/>
      <c r="C4" s="17" t="s">
        <v>491</v>
      </c>
      <c r="D4" s="17"/>
    </row>
    <row r="5" spans="1:4">
      <c r="A5" s="11" t="s">
        <v>492</v>
      </c>
      <c r="B5" s="17"/>
      <c r="C5" s="17" t="s">
        <v>493</v>
      </c>
      <c r="D5" s="17"/>
    </row>
    <row r="6" spans="1:4">
      <c r="A6" s="11" t="s">
        <v>494</v>
      </c>
      <c r="B6" s="17"/>
      <c r="C6" s="17" t="s">
        <v>495</v>
      </c>
      <c r="D6" s="17"/>
    </row>
    <row r="7" spans="1:4">
      <c r="A7" s="11" t="s">
        <v>496</v>
      </c>
      <c r="B7" s="17"/>
      <c r="C7" s="17" t="s">
        <v>497</v>
      </c>
      <c r="D7" s="17"/>
    </row>
    <row r="8" spans="1:4">
      <c r="A8" s="10" t="s">
        <v>498</v>
      </c>
      <c r="B8" s="17"/>
      <c r="C8" s="17"/>
      <c r="D8" s="17"/>
    </row>
    <row r="9" spans="1:4">
      <c r="A9" s="11" t="s">
        <v>499</v>
      </c>
      <c r="B9" s="17"/>
      <c r="C9" s="17" t="s">
        <v>500</v>
      </c>
      <c r="D9" s="17"/>
    </row>
    <row r="10" spans="1:4">
      <c r="A10" s="11" t="s">
        <v>501</v>
      </c>
      <c r="B10" s="17"/>
      <c r="C10" s="17" t="s">
        <v>502</v>
      </c>
      <c r="D10" s="17"/>
    </row>
    <row r="11" spans="1:4">
      <c r="A11" s="11" t="s">
        <v>503</v>
      </c>
      <c r="B11" s="17"/>
      <c r="C11" s="17" t="s">
        <v>504</v>
      </c>
      <c r="D11" s="17"/>
    </row>
    <row r="12" spans="1:4" ht="30">
      <c r="A12" s="11" t="s">
        <v>505</v>
      </c>
      <c r="B12" s="17"/>
      <c r="C12" s="17" t="s">
        <v>506</v>
      </c>
      <c r="D12" s="17"/>
    </row>
    <row r="13" spans="1:4">
      <c r="A13" s="10" t="s">
        <v>507</v>
      </c>
      <c r="B13" s="17"/>
      <c r="C13" s="17"/>
      <c r="D13" s="17"/>
    </row>
    <row r="14" spans="1:4">
      <c r="A14" s="11" t="s">
        <v>508</v>
      </c>
      <c r="B14" s="17"/>
      <c r="C14" s="17" t="s">
        <v>509</v>
      </c>
      <c r="D14" s="17"/>
    </row>
    <row r="15" spans="1:4">
      <c r="A15" s="11" t="s">
        <v>510</v>
      </c>
      <c r="B15" s="17"/>
      <c r="C15" s="17" t="s">
        <v>511</v>
      </c>
      <c r="D15" s="17"/>
    </row>
    <row r="16" spans="1:4">
      <c r="A16" s="11" t="s">
        <v>512</v>
      </c>
      <c r="B16" s="17"/>
      <c r="C16" s="17" t="s">
        <v>513</v>
      </c>
      <c r="D16" s="17"/>
    </row>
    <row r="17" spans="1:6">
      <c r="A17" s="11" t="s">
        <v>514</v>
      </c>
      <c r="B17" s="17"/>
      <c r="C17" s="17" t="s">
        <v>515</v>
      </c>
      <c r="D17" s="17"/>
    </row>
    <row r="18" spans="1:6">
      <c r="E18" s="13" t="s">
        <v>516</v>
      </c>
      <c r="F18" s="7" t="s">
        <v>517</v>
      </c>
    </row>
    <row r="19" spans="1:6" ht="45">
      <c r="A19" s="12" t="s">
        <v>518</v>
      </c>
      <c r="B19" s="16" t="s">
        <v>519</v>
      </c>
      <c r="C19" s="16" t="s">
        <v>520</v>
      </c>
      <c r="E19" s="14" t="s">
        <v>521</v>
      </c>
      <c r="F19" s="8" t="s">
        <v>522</v>
      </c>
    </row>
    <row r="20" spans="1:6" ht="30">
      <c r="A20" s="12" t="s">
        <v>523</v>
      </c>
      <c r="B20" s="16" t="s">
        <v>524</v>
      </c>
      <c r="C20" s="16" t="s">
        <v>525</v>
      </c>
      <c r="E20" s="14" t="s">
        <v>526</v>
      </c>
      <c r="F20" s="8" t="s">
        <v>527</v>
      </c>
    </row>
    <row r="21" spans="1:6" ht="60">
      <c r="A21" s="12" t="s">
        <v>486</v>
      </c>
      <c r="B21" s="16" t="s">
        <v>528</v>
      </c>
      <c r="C21" s="16" t="s">
        <v>529</v>
      </c>
      <c r="D21" s="16" t="s">
        <v>530</v>
      </c>
      <c r="E21" s="14" t="s">
        <v>531</v>
      </c>
      <c r="F21" s="8" t="s">
        <v>532</v>
      </c>
    </row>
    <row r="22" spans="1:6" ht="30">
      <c r="A22" s="12" t="s">
        <v>533</v>
      </c>
      <c r="B22" s="16" t="s">
        <v>534</v>
      </c>
      <c r="C22" s="16" t="s">
        <v>535</v>
      </c>
      <c r="E22" s="14" t="s">
        <v>536</v>
      </c>
      <c r="F22" s="8" t="s">
        <v>537</v>
      </c>
    </row>
    <row r="23" spans="1:6" ht="135">
      <c r="A23" s="12" t="s">
        <v>538</v>
      </c>
      <c r="B23" s="16" t="s">
        <v>534</v>
      </c>
      <c r="C23" s="16" t="s">
        <v>539</v>
      </c>
      <c r="E23" s="14" t="s">
        <v>540</v>
      </c>
      <c r="F23" s="8" t="s">
        <v>541</v>
      </c>
    </row>
    <row r="24" spans="1:6" ht="270">
      <c r="A24" s="12" t="s">
        <v>542</v>
      </c>
      <c r="B24" s="16" t="s">
        <v>534</v>
      </c>
      <c r="C24" s="18" t="s">
        <v>543</v>
      </c>
      <c r="E24" s="14" t="s">
        <v>544</v>
      </c>
      <c r="F24" s="8" t="s">
        <v>545</v>
      </c>
    </row>
    <row r="25" spans="1:6" ht="75">
      <c r="A25" s="12" t="s">
        <v>546</v>
      </c>
      <c r="B25" s="16" t="s">
        <v>547</v>
      </c>
      <c r="C25" s="16" t="s">
        <v>548</v>
      </c>
      <c r="E25" s="14" t="s">
        <v>549</v>
      </c>
      <c r="F25" s="8" t="s">
        <v>550</v>
      </c>
    </row>
    <row r="26" spans="1:6" ht="120">
      <c r="A26" s="12" t="s">
        <v>551</v>
      </c>
      <c r="B26" s="16" t="s">
        <v>547</v>
      </c>
      <c r="C26" s="16" t="s">
        <v>552</v>
      </c>
      <c r="E26" s="14" t="s">
        <v>553</v>
      </c>
      <c r="F26" s="8" t="s">
        <v>554</v>
      </c>
    </row>
    <row r="27" spans="1:6" ht="75">
      <c r="A27" s="12" t="s">
        <v>555</v>
      </c>
      <c r="B27" s="16" t="s">
        <v>547</v>
      </c>
      <c r="E27" s="14" t="s">
        <v>556</v>
      </c>
      <c r="F27" s="8" t="s">
        <v>557</v>
      </c>
    </row>
    <row r="28" spans="1:6" ht="75">
      <c r="A28" s="12" t="s">
        <v>558</v>
      </c>
      <c r="B28" s="16" t="s">
        <v>547</v>
      </c>
      <c r="E28" s="14" t="s">
        <v>559</v>
      </c>
      <c r="F28" s="15" t="s">
        <v>560</v>
      </c>
    </row>
    <row r="29" spans="1:6" ht="75">
      <c r="A29" s="12" t="s">
        <v>561</v>
      </c>
      <c r="B29" s="16" t="s">
        <v>547</v>
      </c>
      <c r="E29" s="14" t="s">
        <v>562</v>
      </c>
      <c r="F29" s="8" t="s">
        <v>563</v>
      </c>
    </row>
    <row r="30" spans="1:6" ht="75">
      <c r="A30" s="12" t="s">
        <v>564</v>
      </c>
      <c r="B30" s="16" t="s">
        <v>547</v>
      </c>
      <c r="E30" s="14" t="s">
        <v>565</v>
      </c>
      <c r="F30" s="8" t="s">
        <v>566</v>
      </c>
    </row>
    <row r="31" spans="1:6" ht="75">
      <c r="A31" s="12" t="s">
        <v>567</v>
      </c>
      <c r="B31" s="16" t="s">
        <v>547</v>
      </c>
      <c r="C31" s="19" t="s">
        <v>568</v>
      </c>
      <c r="E31" s="14" t="s">
        <v>569</v>
      </c>
      <c r="F31" s="8" t="s">
        <v>570</v>
      </c>
    </row>
    <row r="32" spans="1:6" ht="45">
      <c r="A32" s="12" t="s">
        <v>571</v>
      </c>
      <c r="B32" s="20" t="s">
        <v>572</v>
      </c>
      <c r="C32" s="19"/>
      <c r="E32" s="14" t="s">
        <v>573</v>
      </c>
      <c r="F32" s="8" t="s">
        <v>574</v>
      </c>
    </row>
    <row r="33" spans="1:6" ht="30">
      <c r="A33" s="12" t="s">
        <v>575</v>
      </c>
      <c r="B33" s="16" t="s">
        <v>576</v>
      </c>
      <c r="E33" s="14" t="s">
        <v>577</v>
      </c>
      <c r="F33" s="8" t="s">
        <v>578</v>
      </c>
    </row>
    <row r="34" spans="1:6" ht="30">
      <c r="A34" s="12" t="s">
        <v>579</v>
      </c>
      <c r="B34" s="20" t="s">
        <v>580</v>
      </c>
      <c r="E34" s="14" t="s">
        <v>581</v>
      </c>
      <c r="F34" s="8" t="s">
        <v>582</v>
      </c>
    </row>
    <row r="35" spans="1:6">
      <c r="A35" s="12" t="s">
        <v>583</v>
      </c>
      <c r="B35" s="21" t="s">
        <v>584</v>
      </c>
      <c r="E35" s="14" t="s">
        <v>585</v>
      </c>
      <c r="F35" s="8" t="s">
        <v>586</v>
      </c>
    </row>
    <row r="36" spans="1:6">
      <c r="A36" s="12" t="s">
        <v>587</v>
      </c>
      <c r="B36" s="16" t="s">
        <v>588</v>
      </c>
      <c r="C36" s="16" t="s">
        <v>589</v>
      </c>
      <c r="E36" s="14" t="s">
        <v>590</v>
      </c>
      <c r="F36" s="8" t="s">
        <v>591</v>
      </c>
    </row>
    <row r="37" spans="1:6">
      <c r="A37" s="12" t="s">
        <v>134</v>
      </c>
      <c r="B37" s="16" t="s">
        <v>588</v>
      </c>
      <c r="C37" s="16" t="s">
        <v>592</v>
      </c>
      <c r="E37" s="14" t="s">
        <v>593</v>
      </c>
      <c r="F37" s="8" t="s">
        <v>594</v>
      </c>
    </row>
    <row r="38" spans="1:6">
      <c r="A38" s="12" t="s">
        <v>595</v>
      </c>
      <c r="B38" s="16" t="s">
        <v>588</v>
      </c>
      <c r="C38" s="16" t="s">
        <v>596</v>
      </c>
      <c r="E38" s="14" t="s">
        <v>597</v>
      </c>
      <c r="F38" s="8" t="s">
        <v>598</v>
      </c>
    </row>
    <row r="39" spans="1:6">
      <c r="A39" s="12" t="s">
        <v>599</v>
      </c>
      <c r="B39" s="16" t="s">
        <v>588</v>
      </c>
      <c r="E39" s="14" t="s">
        <v>600</v>
      </c>
      <c r="F39" s="8" t="s">
        <v>601</v>
      </c>
    </row>
    <row r="40" spans="1:6" ht="45">
      <c r="A40" s="12" t="s">
        <v>602</v>
      </c>
      <c r="B40" s="20" t="s">
        <v>603</v>
      </c>
      <c r="E40" s="14" t="s">
        <v>604</v>
      </c>
      <c r="F40" s="8" t="s">
        <v>605</v>
      </c>
    </row>
    <row r="41" spans="1:6" ht="60">
      <c r="A41" s="12" t="s">
        <v>606</v>
      </c>
      <c r="B41" s="20" t="s">
        <v>607</v>
      </c>
      <c r="E41" s="14" t="s">
        <v>608</v>
      </c>
      <c r="F41" s="8" t="s">
        <v>609</v>
      </c>
    </row>
    <row r="42" spans="1:6" ht="60">
      <c r="A42" s="12" t="s">
        <v>610</v>
      </c>
      <c r="B42" s="20" t="s">
        <v>611</v>
      </c>
      <c r="C42" s="16" t="s">
        <v>612</v>
      </c>
      <c r="E42" s="14" t="s">
        <v>613</v>
      </c>
      <c r="F42" s="8" t="s">
        <v>614</v>
      </c>
    </row>
    <row r="43" spans="1:6" ht="45">
      <c r="A43" s="12" t="s">
        <v>615</v>
      </c>
      <c r="B43" s="23" t="s">
        <v>616</v>
      </c>
      <c r="C43" s="16" t="s">
        <v>617</v>
      </c>
      <c r="E43" s="14" t="s">
        <v>618</v>
      </c>
      <c r="F43" s="8" t="s">
        <v>619</v>
      </c>
    </row>
    <row r="44" spans="1:6" ht="30">
      <c r="A44" s="12" t="s">
        <v>620</v>
      </c>
      <c r="B44" s="23" t="s">
        <v>621</v>
      </c>
      <c r="C44" s="16" t="s">
        <v>622</v>
      </c>
      <c r="E44" s="14" t="s">
        <v>623</v>
      </c>
      <c r="F44" s="8" t="s">
        <v>624</v>
      </c>
    </row>
    <row r="45" spans="1:6" ht="105">
      <c r="A45" s="12" t="s">
        <v>625</v>
      </c>
      <c r="B45" s="21" t="s">
        <v>626</v>
      </c>
      <c r="C45" s="16" t="s">
        <v>627</v>
      </c>
      <c r="E45" s="14" t="s">
        <v>628</v>
      </c>
      <c r="F45" s="8" t="s">
        <v>629</v>
      </c>
    </row>
    <row r="46" spans="1:6" ht="45">
      <c r="A46" s="12" t="s">
        <v>630</v>
      </c>
      <c r="B46" s="21" t="s">
        <v>626</v>
      </c>
      <c r="E46" s="14" t="s">
        <v>631</v>
      </c>
      <c r="F46" s="8" t="s">
        <v>632</v>
      </c>
    </row>
    <row r="47" spans="1:6" ht="30">
      <c r="A47" s="12" t="s">
        <v>633</v>
      </c>
      <c r="B47" s="23" t="s">
        <v>634</v>
      </c>
      <c r="E47" s="14" t="s">
        <v>635</v>
      </c>
      <c r="F47" s="15" t="s">
        <v>636</v>
      </c>
    </row>
    <row r="48" spans="1:6" ht="30">
      <c r="A48" s="12" t="s">
        <v>637</v>
      </c>
      <c r="B48" s="23" t="s">
        <v>634</v>
      </c>
      <c r="E48" s="14" t="s">
        <v>638</v>
      </c>
      <c r="F48" s="15" t="s">
        <v>639</v>
      </c>
    </row>
    <row r="49" spans="1:6">
      <c r="A49" s="12" t="s">
        <v>640</v>
      </c>
      <c r="B49" s="21" t="s">
        <v>641</v>
      </c>
      <c r="E49" s="14" t="s">
        <v>642</v>
      </c>
      <c r="F49" s="8" t="s">
        <v>643</v>
      </c>
    </row>
    <row r="50" spans="1:6">
      <c r="A50" s="12" t="s">
        <v>644</v>
      </c>
      <c r="B50" s="21" t="s">
        <v>641</v>
      </c>
      <c r="E50" s="14" t="s">
        <v>645</v>
      </c>
      <c r="F50" s="8" t="s">
        <v>646</v>
      </c>
    </row>
    <row r="51" spans="1:6" ht="60">
      <c r="A51" s="12" t="s">
        <v>647</v>
      </c>
      <c r="B51" s="23" t="s">
        <v>648</v>
      </c>
      <c r="E51" s="14" t="s">
        <v>649</v>
      </c>
      <c r="F51" s="8" t="s">
        <v>650</v>
      </c>
    </row>
    <row r="52" spans="1:6" ht="60">
      <c r="A52" s="12" t="s">
        <v>651</v>
      </c>
      <c r="B52" s="23" t="s">
        <v>648</v>
      </c>
      <c r="E52" s="14" t="s">
        <v>652</v>
      </c>
      <c r="F52" s="8" t="s">
        <v>653</v>
      </c>
    </row>
    <row r="53" spans="1:6">
      <c r="A53" s="12" t="s">
        <v>654</v>
      </c>
      <c r="B53" s="22" t="s">
        <v>655</v>
      </c>
      <c r="E53" s="14" t="s">
        <v>656</v>
      </c>
      <c r="F53" s="8" t="s">
        <v>657</v>
      </c>
    </row>
    <row r="54" spans="1:6" ht="165">
      <c r="A54" s="12" t="s">
        <v>658</v>
      </c>
      <c r="B54" s="23" t="s">
        <v>659</v>
      </c>
      <c r="C54" s="16" t="s">
        <v>660</v>
      </c>
      <c r="E54" s="14" t="s">
        <v>661</v>
      </c>
      <c r="F54" s="8" t="s">
        <v>662</v>
      </c>
    </row>
    <row r="55" spans="1:6" ht="30">
      <c r="A55" s="12" t="s">
        <v>663</v>
      </c>
      <c r="B55" s="23" t="s">
        <v>659</v>
      </c>
      <c r="C55" s="16" t="s">
        <v>664</v>
      </c>
      <c r="E55" s="14" t="s">
        <v>665</v>
      </c>
      <c r="F55" s="8" t="s">
        <v>666</v>
      </c>
    </row>
    <row r="56" spans="1:6">
      <c r="A56" s="12" t="s">
        <v>667</v>
      </c>
      <c r="B56" s="23" t="s">
        <v>659</v>
      </c>
      <c r="E56" s="14" t="s">
        <v>668</v>
      </c>
      <c r="F56" s="8" t="s">
        <v>669</v>
      </c>
    </row>
    <row r="57" spans="1:6" ht="60">
      <c r="A57" s="12" t="s">
        <v>670</v>
      </c>
      <c r="B57" s="23" t="s">
        <v>648</v>
      </c>
      <c r="E57" s="14" t="s">
        <v>671</v>
      </c>
      <c r="F57" s="8" t="s">
        <v>672</v>
      </c>
    </row>
    <row r="58" spans="1:6" ht="60">
      <c r="A58" s="12" t="s">
        <v>673</v>
      </c>
      <c r="B58" s="23" t="s">
        <v>648</v>
      </c>
      <c r="E58" s="14" t="s">
        <v>674</v>
      </c>
      <c r="F58" s="8" t="s">
        <v>675</v>
      </c>
    </row>
    <row r="59" spans="1:6" ht="45">
      <c r="A59" s="12" t="s">
        <v>676</v>
      </c>
      <c r="B59" s="21" t="s">
        <v>626</v>
      </c>
      <c r="E59" s="14" t="s">
        <v>677</v>
      </c>
      <c r="F59" s="8" t="s">
        <v>678</v>
      </c>
    </row>
    <row r="60" spans="1:6" ht="45">
      <c r="A60" s="12" t="s">
        <v>679</v>
      </c>
      <c r="B60" s="23" t="s">
        <v>680</v>
      </c>
      <c r="E60" s="14" t="s">
        <v>681</v>
      </c>
      <c r="F60" s="8" t="s">
        <v>682</v>
      </c>
    </row>
    <row r="61" spans="1:6" ht="45">
      <c r="A61" s="12" t="s">
        <v>683</v>
      </c>
      <c r="B61" s="23" t="s">
        <v>680</v>
      </c>
      <c r="E61" s="14" t="s">
        <v>684</v>
      </c>
      <c r="F61" s="8" t="s">
        <v>685</v>
      </c>
    </row>
    <row r="62" spans="1:6" ht="45">
      <c r="A62" s="12" t="s">
        <v>686</v>
      </c>
      <c r="B62" s="23" t="s">
        <v>680</v>
      </c>
      <c r="E62" s="14" t="s">
        <v>687</v>
      </c>
      <c r="F62" s="8" t="s">
        <v>688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2"/>
  <sheetViews>
    <sheetView workbookViewId="0">
      <selection activeCell="B1" sqref="B1"/>
    </sheetView>
  </sheetViews>
  <sheetFormatPr defaultRowHeight="15"/>
  <cols>
    <col min="2" max="2" width="22" bestFit="1" customWidth="1"/>
    <col min="4" max="4" width="18.140625" bestFit="1" customWidth="1"/>
    <col min="8" max="8" width="85.42578125" customWidth="1"/>
  </cols>
  <sheetData>
    <row r="1" spans="1:6">
      <c r="A1" t="s">
        <v>292</v>
      </c>
      <c r="B1" t="s">
        <v>0</v>
      </c>
      <c r="C1" t="s">
        <v>240</v>
      </c>
      <c r="D1" t="s">
        <v>244</v>
      </c>
      <c r="E1" t="s">
        <v>247</v>
      </c>
      <c r="F1" t="s">
        <v>689</v>
      </c>
    </row>
    <row r="2" spans="1:6">
      <c r="B2" t="s">
        <v>690</v>
      </c>
      <c r="C2" t="s">
        <v>691</v>
      </c>
      <c r="D2" t="s">
        <v>692</v>
      </c>
    </row>
    <row r="3" spans="1:6">
      <c r="B3" t="s">
        <v>693</v>
      </c>
      <c r="C3" t="s">
        <v>691</v>
      </c>
      <c r="D3" t="s">
        <v>694</v>
      </c>
    </row>
    <row r="4" spans="1:6">
      <c r="B4" t="s">
        <v>695</v>
      </c>
      <c r="C4" t="s">
        <v>691</v>
      </c>
      <c r="D4" t="s">
        <v>696</v>
      </c>
    </row>
    <row r="5" spans="1:6">
      <c r="B5" t="s">
        <v>697</v>
      </c>
      <c r="C5" t="s">
        <v>691</v>
      </c>
      <c r="D5" t="s">
        <v>694</v>
      </c>
      <c r="F5" t="s">
        <v>698</v>
      </c>
    </row>
    <row r="6" spans="1:6">
      <c r="B6" t="s">
        <v>699</v>
      </c>
      <c r="C6" t="s">
        <v>691</v>
      </c>
      <c r="D6" t="s">
        <v>694</v>
      </c>
    </row>
    <row r="7" spans="1:6">
      <c r="B7" t="s">
        <v>700</v>
      </c>
      <c r="C7" t="s">
        <v>701</v>
      </c>
      <c r="D7" t="s">
        <v>702</v>
      </c>
    </row>
    <row r="8" spans="1:6">
      <c r="B8" t="s">
        <v>703</v>
      </c>
      <c r="C8" t="s">
        <v>701</v>
      </c>
      <c r="D8" t="s">
        <v>704</v>
      </c>
    </row>
    <row r="9" spans="1:6">
      <c r="B9" t="s">
        <v>705</v>
      </c>
      <c r="C9" t="s">
        <v>701</v>
      </c>
      <c r="D9" t="s">
        <v>704</v>
      </c>
    </row>
    <row r="10" spans="1:6">
      <c r="B10" t="s">
        <v>706</v>
      </c>
      <c r="C10" t="s">
        <v>701</v>
      </c>
      <c r="D10" t="s">
        <v>704</v>
      </c>
    </row>
    <row r="11" spans="1:6">
      <c r="B11" t="s">
        <v>707</v>
      </c>
      <c r="C11" t="s">
        <v>701</v>
      </c>
      <c r="D11" t="s">
        <v>702</v>
      </c>
    </row>
    <row r="12" spans="1:6">
      <c r="B12" t="s">
        <v>708</v>
      </c>
      <c r="C12" t="s">
        <v>701</v>
      </c>
      <c r="D12" t="s">
        <v>702</v>
      </c>
    </row>
    <row r="13" spans="1:6">
      <c r="B13" t="s">
        <v>709</v>
      </c>
      <c r="C13" t="s">
        <v>701</v>
      </c>
      <c r="D13" t="s">
        <v>702</v>
      </c>
    </row>
    <row r="14" spans="1:6">
      <c r="B14" t="s">
        <v>710</v>
      </c>
      <c r="C14" t="s">
        <v>701</v>
      </c>
      <c r="D14" t="s">
        <v>702</v>
      </c>
    </row>
    <row r="15" spans="1:6">
      <c r="B15" t="s">
        <v>711</v>
      </c>
      <c r="C15" t="s">
        <v>701</v>
      </c>
      <c r="D15" t="s">
        <v>702</v>
      </c>
    </row>
    <row r="16" spans="1:6">
      <c r="B16" t="s">
        <v>712</v>
      </c>
      <c r="C16" t="s">
        <v>701</v>
      </c>
      <c r="D16" t="s">
        <v>702</v>
      </c>
    </row>
    <row r="17" spans="2:8">
      <c r="B17" t="s">
        <v>713</v>
      </c>
      <c r="C17" t="s">
        <v>701</v>
      </c>
      <c r="D17" t="s">
        <v>702</v>
      </c>
    </row>
    <row r="18" spans="2:8">
      <c r="B18" t="s">
        <v>714</v>
      </c>
      <c r="C18" t="s">
        <v>715</v>
      </c>
      <c r="D18" t="s">
        <v>702</v>
      </c>
    </row>
    <row r="19" spans="2:8">
      <c r="B19" t="s">
        <v>716</v>
      </c>
      <c r="C19" t="s">
        <v>715</v>
      </c>
      <c r="D19" t="s">
        <v>702</v>
      </c>
    </row>
    <row r="20" spans="2:8">
      <c r="B20" t="s">
        <v>717</v>
      </c>
      <c r="C20" t="s">
        <v>715</v>
      </c>
      <c r="D20" t="s">
        <v>702</v>
      </c>
    </row>
    <row r="22" spans="2:8">
      <c r="H22" s="16"/>
    </row>
  </sheetData>
  <autoFilter ref="A1:F20" xr:uid="{6B8D126A-E50F-4373-9159-5B9100CAC9A2}">
    <sortState xmlns:xlrd2="http://schemas.microsoft.com/office/spreadsheetml/2017/richdata2" ref="A2:F20">
      <sortCondition ref="C1:C20"/>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H21"/>
  <sheetViews>
    <sheetView workbookViewId="0">
      <selection activeCell="I9" sqref="A9:I9"/>
    </sheetView>
  </sheetViews>
  <sheetFormatPr defaultRowHeight="15"/>
  <cols>
    <col min="1" max="1" width="22" bestFit="1" customWidth="1"/>
    <col min="2" max="2" width="9" bestFit="1" customWidth="1"/>
    <col min="3" max="3" width="8.28515625" bestFit="1" customWidth="1"/>
    <col min="4" max="4" width="13.7109375" bestFit="1" customWidth="1"/>
    <col min="5" max="5" width="10.5703125" bestFit="1" customWidth="1"/>
    <col min="6" max="6" width="9.5703125" bestFit="1" customWidth="1"/>
    <col min="7" max="7" width="7" bestFit="1" customWidth="1"/>
    <col min="8" max="8" width="9.5703125" bestFit="1" customWidth="1"/>
  </cols>
  <sheetData>
    <row r="1" spans="1:8">
      <c r="A1" s="28" t="s">
        <v>718</v>
      </c>
      <c r="B1" s="39" t="s">
        <v>52</v>
      </c>
      <c r="C1" s="40"/>
      <c r="D1" s="40"/>
      <c r="E1" s="40"/>
      <c r="F1" s="40"/>
      <c r="G1" s="40"/>
      <c r="H1" s="41"/>
    </row>
    <row r="2" spans="1:8">
      <c r="A2" s="29" t="s">
        <v>690</v>
      </c>
      <c r="B2" t="s">
        <v>719</v>
      </c>
      <c r="C2" t="s">
        <v>720</v>
      </c>
      <c r="D2" t="s">
        <v>721</v>
      </c>
      <c r="H2" s="25"/>
    </row>
    <row r="3" spans="1:8">
      <c r="A3" s="29" t="s">
        <v>693</v>
      </c>
      <c r="B3" t="s">
        <v>719</v>
      </c>
      <c r="C3" t="s">
        <v>720</v>
      </c>
      <c r="D3" t="s">
        <v>721</v>
      </c>
      <c r="H3" s="25"/>
    </row>
    <row r="4" spans="1:8">
      <c r="A4" s="29" t="s">
        <v>695</v>
      </c>
      <c r="B4" t="s">
        <v>722</v>
      </c>
      <c r="C4" t="s">
        <v>723</v>
      </c>
      <c r="D4" t="s">
        <v>721</v>
      </c>
      <c r="E4" t="s">
        <v>724</v>
      </c>
      <c r="F4" t="s">
        <v>725</v>
      </c>
      <c r="G4" t="s">
        <v>726</v>
      </c>
      <c r="H4" s="25"/>
    </row>
    <row r="5" spans="1:8">
      <c r="A5" s="29" t="s">
        <v>697</v>
      </c>
      <c r="B5" t="s">
        <v>719</v>
      </c>
      <c r="H5" s="25"/>
    </row>
    <row r="6" spans="1:8">
      <c r="A6" s="29" t="s">
        <v>699</v>
      </c>
      <c r="B6" t="s">
        <v>719</v>
      </c>
      <c r="C6" t="s">
        <v>720</v>
      </c>
      <c r="D6" t="s">
        <v>727</v>
      </c>
      <c r="H6" s="25"/>
    </row>
    <row r="7" spans="1:8">
      <c r="A7" s="29" t="s">
        <v>700</v>
      </c>
      <c r="B7" t="s">
        <v>719</v>
      </c>
      <c r="C7" t="s">
        <v>720</v>
      </c>
      <c r="D7" t="s">
        <v>727</v>
      </c>
      <c r="E7" t="s">
        <v>728</v>
      </c>
      <c r="H7" s="25"/>
    </row>
    <row r="8" spans="1:8">
      <c r="A8" s="29" t="s">
        <v>703</v>
      </c>
      <c r="B8" t="s">
        <v>729</v>
      </c>
      <c r="C8" t="s">
        <v>730</v>
      </c>
      <c r="D8" t="s">
        <v>731</v>
      </c>
      <c r="H8" s="25"/>
    </row>
    <row r="9" spans="1:8">
      <c r="A9" s="29" t="s">
        <v>705</v>
      </c>
      <c r="B9" t="s">
        <v>729</v>
      </c>
      <c r="C9" t="s">
        <v>730</v>
      </c>
      <c r="H9" s="25"/>
    </row>
    <row r="10" spans="1:8">
      <c r="A10" s="29" t="s">
        <v>706</v>
      </c>
      <c r="B10" t="s">
        <v>729</v>
      </c>
      <c r="C10" t="s">
        <v>730</v>
      </c>
      <c r="D10" t="s">
        <v>731</v>
      </c>
      <c r="H10" s="25"/>
    </row>
    <row r="11" spans="1:8">
      <c r="A11" s="29" t="s">
        <v>707</v>
      </c>
      <c r="B11" t="s">
        <v>732</v>
      </c>
      <c r="C11" t="s">
        <v>733</v>
      </c>
      <c r="D11" t="s">
        <v>734</v>
      </c>
      <c r="H11" s="25"/>
    </row>
    <row r="12" spans="1:8">
      <c r="A12" s="29" t="s">
        <v>708</v>
      </c>
      <c r="B12" t="s">
        <v>732</v>
      </c>
      <c r="C12" t="s">
        <v>735</v>
      </c>
      <c r="D12" t="s">
        <v>736</v>
      </c>
      <c r="E12" t="s">
        <v>720</v>
      </c>
      <c r="F12" t="s">
        <v>727</v>
      </c>
      <c r="G12" t="s">
        <v>728</v>
      </c>
      <c r="H12" s="25"/>
    </row>
    <row r="13" spans="1:8">
      <c r="A13" s="29" t="s">
        <v>709</v>
      </c>
      <c r="B13" t="s">
        <v>732</v>
      </c>
      <c r="C13" t="s">
        <v>735</v>
      </c>
      <c r="D13" t="s">
        <v>736</v>
      </c>
      <c r="E13" t="s">
        <v>720</v>
      </c>
      <c r="F13" t="s">
        <v>727</v>
      </c>
      <c r="G13" t="s">
        <v>728</v>
      </c>
      <c r="H13" s="25"/>
    </row>
    <row r="14" spans="1:8">
      <c r="A14" s="29" t="s">
        <v>710</v>
      </c>
      <c r="B14" t="s">
        <v>732</v>
      </c>
      <c r="C14" t="s">
        <v>735</v>
      </c>
      <c r="D14" t="s">
        <v>734</v>
      </c>
      <c r="E14" t="s">
        <v>737</v>
      </c>
      <c r="F14" t="s">
        <v>720</v>
      </c>
      <c r="G14" t="s">
        <v>728</v>
      </c>
      <c r="H14" s="25" t="s">
        <v>727</v>
      </c>
    </row>
    <row r="15" spans="1:8">
      <c r="A15" s="29" t="s">
        <v>711</v>
      </c>
      <c r="B15" t="s">
        <v>732</v>
      </c>
      <c r="C15" t="s">
        <v>735</v>
      </c>
      <c r="D15" t="s">
        <v>734</v>
      </c>
      <c r="E15" t="s">
        <v>720</v>
      </c>
      <c r="F15" t="s">
        <v>738</v>
      </c>
      <c r="G15" t="s">
        <v>728</v>
      </c>
      <c r="H15" s="25"/>
    </row>
    <row r="16" spans="1:8">
      <c r="A16" s="29" t="s">
        <v>712</v>
      </c>
      <c r="B16" t="s">
        <v>732</v>
      </c>
      <c r="C16" t="s">
        <v>735</v>
      </c>
      <c r="D16" t="s">
        <v>734</v>
      </c>
      <c r="E16" t="s">
        <v>720</v>
      </c>
      <c r="F16" t="s">
        <v>738</v>
      </c>
      <c r="G16" t="s">
        <v>728</v>
      </c>
      <c r="H16" s="25"/>
    </row>
    <row r="17" spans="1:8">
      <c r="A17" s="29" t="s">
        <v>713</v>
      </c>
      <c r="B17" t="s">
        <v>732</v>
      </c>
      <c r="C17" t="s">
        <v>735</v>
      </c>
      <c r="E17" t="s">
        <v>720</v>
      </c>
      <c r="H17" s="25"/>
    </row>
    <row r="18" spans="1:8">
      <c r="A18" s="29" t="s">
        <v>714</v>
      </c>
      <c r="B18" t="s">
        <v>739</v>
      </c>
      <c r="C18" t="s">
        <v>730</v>
      </c>
      <c r="H18" s="25"/>
    </row>
    <row r="19" spans="1:8">
      <c r="A19" s="29" t="s">
        <v>716</v>
      </c>
      <c r="B19" t="s">
        <v>740</v>
      </c>
      <c r="C19" t="s">
        <v>741</v>
      </c>
      <c r="D19" t="s">
        <v>742</v>
      </c>
      <c r="H19" s="25"/>
    </row>
    <row r="20" spans="1:8">
      <c r="A20" s="29" t="s">
        <v>717</v>
      </c>
      <c r="B20" t="s">
        <v>732</v>
      </c>
      <c r="C20" t="s">
        <v>735</v>
      </c>
      <c r="D20" t="s">
        <v>734</v>
      </c>
      <c r="E20" t="s">
        <v>737</v>
      </c>
      <c r="F20" t="s">
        <v>720</v>
      </c>
      <c r="G20" t="s">
        <v>728</v>
      </c>
      <c r="H20" s="25" t="s">
        <v>727</v>
      </c>
    </row>
    <row r="21" spans="1:8">
      <c r="A21" s="30" t="s">
        <v>743</v>
      </c>
      <c r="B21" s="26" t="s">
        <v>744</v>
      </c>
      <c r="C21" s="26"/>
      <c r="D21" s="26"/>
      <c r="E21" s="26"/>
      <c r="F21" s="26"/>
      <c r="G21" s="26"/>
      <c r="H21" s="27"/>
    </row>
  </sheetData>
  <mergeCells count="1">
    <mergeCell ref="B1:H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BB428E-D1CA-47E8-B784-F33B49A13D8D}"/>
</file>

<file path=customXml/itemProps2.xml><?xml version="1.0" encoding="utf-8"?>
<ds:datastoreItem xmlns:ds="http://schemas.openxmlformats.org/officeDocument/2006/customXml" ds:itemID="{981D98BA-C602-41F7-9CF6-ADC2B2B0572D}"/>
</file>

<file path=customXml/itemProps3.xml><?xml version="1.0" encoding="utf-8"?>
<ds:datastoreItem xmlns:ds="http://schemas.openxmlformats.org/officeDocument/2006/customXml" ds:itemID="{221E8208-2559-4473-AFD3-FB4000FD0D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2025-07-28T20:07:00Z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