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mc:AlternateContent xmlns:mc="http://schemas.openxmlformats.org/markup-compatibility/2006">
    <mc:Choice Requires="x15">
      <x15ac:absPath xmlns:x15ac="http://schemas.microsoft.com/office/spreadsheetml/2010/11/ac" url="https://btgroupcloud.sharepoint.com/teams/CampaignManagementTransformation/Shared Documents/ROI and Attribution/Data Engineering/"/>
    </mc:Choice>
  </mc:AlternateContent>
  <xr:revisionPtr revIDLastSave="0" documentId="8_{BB48945F-A91D-44AD-9ABB-43DC99024615}" xr6:coauthVersionLast="47" xr6:coauthVersionMax="47" xr10:uidLastSave="{00000000-0000-0000-0000-000000000000}"/>
  <bookViews>
    <workbookView xWindow="-120" yWindow="-120" windowWidth="20730" windowHeight="11040" firstSheet="1" activeTab="1" xr2:uid="{EFC15C39-DC71-4D84-BB64-C304B1E6FB49}"/>
  </bookViews>
  <sheets>
    <sheet name="objects" sheetId="1" r:id="rId1"/>
    <sheet name="Attributes" sheetId="2" r:id="rId2"/>
    <sheet name="Sheet1" sheetId="6" r:id="rId3"/>
    <sheet name="Aggregations and Calculations" sheetId="3" r:id="rId4"/>
    <sheet name="Channels" sheetId="4" r:id="rId5"/>
    <sheet name="Interaction Types" sheetId="5" r:id="rId6"/>
  </sheets>
  <definedNames>
    <definedName name="_xlnm._FilterDatabase" localSheetId="1" hidden="1">Attributes!$A$1:$J$164</definedName>
    <definedName name="_xlnm._FilterDatabase" localSheetId="4" hidden="1">Channels!$A$1:$F$20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6" l="1"/>
  <c r="N8" i="6"/>
  <c r="N7" i="6"/>
  <c r="N6" i="6"/>
  <c r="N5" i="6"/>
  <c r="N4" i="6"/>
  <c r="N3" i="6"/>
  <c r="N2" i="6"/>
  <c r="G18" i="1"/>
  <c r="G17" i="1"/>
  <c r="G16" i="1"/>
  <c r="G15" i="1"/>
  <c r="G14" i="1"/>
  <c r="G13" i="1"/>
  <c r="G12" i="1"/>
  <c r="G11" i="1"/>
  <c r="G10" i="1"/>
  <c r="G9" i="1"/>
  <c r="G8" i="1"/>
  <c r="G7" i="1"/>
  <c r="G6" i="1"/>
  <c r="G5" i="1"/>
  <c r="G4" i="1"/>
  <c r="G3" i="1"/>
  <c r="G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tc={57FA6171-D98F-4CBE-BFC6-0F80D28C0683}</author>
    <author>tc={0274946B-05FE-4A74-940A-A8DC46B315F1}</author>
    <author>tc={F565C7A7-7FF2-4D3F-BF6D-DAD651623CF7}</author>
    <author>tc={710AF4BE-211D-4E73-BD3F-C39C02D0E5DC}</author>
    <author>tc={B1C76761-6506-4B3F-A378-69D1147B5870}</author>
    <author>tc={8497C7DA-1239-4373-88D7-CCD3FD1374B1}</author>
    <author>tc={B341755A-7D9C-4B12-B3E8-F721DABD8A3A}</author>
  </authors>
  <commentList>
    <comment ref="B20" authorId="0" shapeId="0" xr:uid="{57FA6171-D98F-4CBE-BFC6-0F80D28C0683}">
      <text>
        <t xml:space="preserve">[Threaded comment]
Your version of Excel allows you to read this threaded comment; however, any edits to it will get removed if the file is opened in a newer version of Excel. Learn more: https://go.microsoft.com/fwlink/?linkid=870924
Comment:
    @David Irvine 
Model Type id like rule/technique id/version may be needed
</t>
      </text>
    </comment>
    <comment ref="C21" authorId="1" shapeId="0" xr:uid="{0274946B-05FE-4A74-940A-A8DC46B315F1}">
      <text>
        <t>[Threaded comment]
Your version of Excel allows you to read this threaded comment; however, any edits to it will get removed if the file is opened in a newer version of Excel. Learn more: https://go.microsoft.com/fwlink/?linkid=870924
Comment:
    @David Irvine 
Example please
Reply:
    See Example Values</t>
      </text>
    </comment>
    <comment ref="C39" authorId="2" shapeId="0" xr:uid="{F565C7A7-7FF2-4D3F-BF6D-DAD651623CF7}">
      <text>
        <t>[Threaded comment]
Your version of Excel allows you to read this threaded comment; however, any edits to it will get removed if the file is opened in a newer version of Excel. Learn more: https://go.microsoft.com/fwlink/?linkid=870924
Comment:
    @David Irvine 
examples please - is it like new acquisition , resign..
Reply:
    I have given the Marketo Values that were used. Need to cross check these with the potential Monday.com Values which might be a more authoritative source of value options.</t>
      </text>
    </comment>
    <comment ref="G43" authorId="3" shapeId="0" xr:uid="{710AF4BE-211D-4E73-BD3F-C39C02D0E5DC}">
      <text>
        <t xml:space="preserve">[Threaded comment]
Your version of Excel allows you to read this threaded comment; however, any edits to it will get removed if the file is opened in a newer version of Excel. Learn more: https://go.microsoft.com/fwlink/?linkid=870924
Comment:
    @David Irvine 
(i)how to differentiate from BTL if there is more than one individual to be contacted (ii) Is there a specific channel available like collaborative-event. Any example for 'Sales' as a channel please
</t>
      </text>
    </comment>
    <comment ref="G45" authorId="4" shapeId="0" xr:uid="{B1C76761-6506-4B3F-A378-69D1147B5870}">
      <text>
        <t xml:space="preserve">[Threaded comment]
Your version of Excel allows you to read this threaded comment; however, any edits to it will get removed if the file is opened in a newer version of Excel. Learn more: https://go.microsoft.com/fwlink/?linkid=870924
Comment:
    @David Irvine 
Conversation may be divided to Chat &amp; Call by BT representative (including AI assisted )
</t>
      </text>
    </comment>
    <comment ref="B61" authorId="5" shapeId="0" xr:uid="{8497C7DA-1239-4373-88D7-CCD3FD1374B1}">
      <text>
        <t>[Threaded comment]
Your version of Excel allows you to read this threaded comment; however, any edits to it will get removed if the file is opened in a newer version of Excel. Learn more: https://go.microsoft.com/fwlink/?linkid=870924
Comment:
    @David Irvine 
May need to be product like Broadbrand , BT net etc) not Marketing Asset (like bulletin board, pamphlet etc)
Reply:
    See comment on product family</t>
      </text>
    </comment>
    <comment ref="C91" authorId="6" shapeId="0" xr:uid="{B341755A-7D9C-4B12-B3E8-F721DABD8A3A}">
      <text>
        <t xml:space="preserve">[Threaded comment]
Your version of Excel allows you to read this threaded comment; however, any edits to it will get removed if the file is opened in a newer version of Excel. Learn more: https://go.microsoft.com/fwlink/?linkid=870924
Comment:
    @David Irvine 
example please . is it a available field in existing Marketo Activities?
</t>
      </text>
    </comment>
  </commentList>
</comments>
</file>

<file path=xl/sharedStrings.xml><?xml version="1.0" encoding="utf-8"?>
<sst xmlns="http://schemas.openxmlformats.org/spreadsheetml/2006/main" count="1193" uniqueCount="744">
  <si>
    <t>Name</t>
  </si>
  <si>
    <t>Generation Method</t>
  </si>
  <si>
    <t>Description</t>
  </si>
  <si>
    <t>Purpose (Attribution)</t>
  </si>
  <si>
    <t>*Purpose (Analytics)</t>
  </si>
  <si>
    <t>Granularity</t>
  </si>
  <si>
    <t>Field Count</t>
  </si>
  <si>
    <t>generate?</t>
  </si>
  <si>
    <t>generation_order</t>
  </si>
  <si>
    <t>Generate_Rows</t>
  </si>
  <si>
    <t xml:space="preserve">existing consumption project </t>
  </si>
  <si>
    <t>bps_roi_rw</t>
  </si>
  <si>
    <t>extend the views/objects</t>
  </si>
  <si>
    <t>Campaigns</t>
  </si>
  <si>
    <t>Source System</t>
  </si>
  <si>
    <t>A group of marketing activities designed to support a specific business objective or overaching message.</t>
  </si>
  <si>
    <t>May be used to influence attribution wieghting as contains metadata that might indicate how relevant the content was for the linked outcome.</t>
  </si>
  <si>
    <t>Use for comparing campaign performance.
Used for filtering to activity within a specific campaign or attribute of campaign.</t>
  </si>
  <si>
    <t>This is defined by the use of monday.com to generate a grouping.
each Campaign should have a unique Monday Code.
Iideally each campaign should have a clear and distinct audience. Be aligned to a single objective.
We expect Asset reuse to be contained to a single campaign.
Campaigns may superseed each other if there is a singificant overhall of content or delivery machanisms. In this case there would be multiple Rows representing each version of the campaign.</t>
  </si>
  <si>
    <t>y</t>
  </si>
  <si>
    <t>bps_roi_ro/DSS(Archect review Qlik)</t>
  </si>
  <si>
    <t>Channels</t>
  </si>
  <si>
    <t>MRD</t>
  </si>
  <si>
    <t>A method of Delivering Content/assets to customers. E.G. Email.</t>
  </si>
  <si>
    <t>May be used to generalise and estimate the proportion of outcomes attributed back to activity.</t>
  </si>
  <si>
    <t>Use for comparison and filtering on dashboards to compare between channels and compare within a channel.</t>
  </si>
  <si>
    <t>Each channel represents a different way the customer experiances recieving the Asset.
This is a reference table So each channel should be agreed and defined, This should be technology agnostic from BT delivery method. But might be technology relevant for delivery platform, Where BT has control.
That is each Social Media platform is a different channel, Within those Ads Vs Organic Would be a different channel.
But within Email there wouldn’t be different channels for the different email clients a person may recieve an email with.</t>
  </si>
  <si>
    <t>Y</t>
  </si>
  <si>
    <t>Facilitation Tool</t>
  </si>
  <si>
    <t>A BT tool that facilitates the delivery of content/asssets to the Customers.</t>
  </si>
  <si>
    <t>Attribution shouldn’t use this information.</t>
  </si>
  <si>
    <t>Usefuly for Comparison and Filtering, So understand perfomance of similar channels and campaigns across different platforms. And to Understand within platforms performance.</t>
  </si>
  <si>
    <t>Each row Represents a single platform. This is a reference table.
Some decisions need to be made as to how platform bundles and addons should be Represented.
Suggest each row represents the complete tool. All the elements accessible from a single interface/Has a seperate contract/cost/Would be expected to be used by the same person.</t>
  </si>
  <si>
    <t>Marketing Assets</t>
  </si>
  <si>
    <t>This is a piece of content or experiance that would be expected to be engaged with at a single point in time.</t>
  </si>
  <si>
    <t>Useful for comparison within a particular channel to find find grain improvements</t>
  </si>
  <si>
    <t>Each Row Represents a single piece of content, This may be an email, article, event. Some channel specific examples.
Short events / Webinars might be one asset, Longer Events may be split into session.
Variations of an email that share a meaningfully different message would be seperate assets. But emails that differ only in personalisation changes would be one asset.
An assets should be something that everyone experiances the same way. No two people should have meaningfully different experiances with that asset.</t>
  </si>
  <si>
    <t>Audience</t>
  </si>
  <si>
    <t>A set of chriteria that defined a group of people who might be targeted for a communication or may be expected to be influenced by an asset.</t>
  </si>
  <si>
    <t>Purpose here is to provide a linking methodology for Assets where direct influence to individuals is not possible due to the delivery channel.</t>
  </si>
  <si>
    <t>Not used for Analytics</t>
  </si>
  <si>
    <t>A specific and complete set of criteria would be contained in a single row. This same audience may be utilised by multiple assets or channels. This wouldn’t result in multiple Audience rows.
Multiple audiences criteria may have overlapping members.
And audience respresents the complete criteria a communicatino wouldn’t go to some intersection of two audiences, This example would be a third audience.</t>
  </si>
  <si>
    <t>Marketing Activity</t>
  </si>
  <si>
    <t>Outbound, proactive, targeted distribution of marketing assets (e.g., emails, calls, direct mail).
Or
Organic, content-driven strategies that attract and engage audiences on their own terms (e.g., social posts, billboards, website content).</t>
  </si>
  <si>
    <t>This Identifies the actions that BT Carries out and is ultimately the most granular element of Marketing activity that BT can optimise.</t>
  </si>
  <si>
    <t>Again this is a baseline for the marketing activity that has been carried out by BT.</t>
  </si>
  <si>
    <t>Each Row represents the Sending of a single assets to a single contact point which may be an individual or company.
This is based on the experiance of the reciepient, So technical retries due to failure wouldn’t result in multiple rows, But if the User recieved two duplicate messages at the same time this would be 2 seperate rows.
This covers everyone who was selected in the audience to receive the communication, Including the Control Cell audience.
OR
Each Row represents a BT action to any number of people. Each action should have a Time or a timeframe where it would be consistantly showing the same asset.
Given the audience is Unknown one row here might have multiple engagements from Multiple Individuals or Companies.</t>
  </si>
  <si>
    <t>Interactions</t>
  </si>
  <si>
    <t>Tracked activities by individuals that show they are engaging with an Asset.</t>
  </si>
  <si>
    <t>This Justifies that the marketing activity was engaged with by the individual and so supports the implication that thier buying decision was influenced by the result.
Greater strength of interaction with marketing activity can be used for increased attribution of outcome to that activity.</t>
  </si>
  <si>
    <t>This may be used for more targeted and channel specific assets engagement reporting.</t>
  </si>
  <si>
    <t>Each row links one person to one activity. There may be multiple interactions for a person to an Activity</t>
  </si>
  <si>
    <t>Attribution Linking Table</t>
  </si>
  <si>
    <t>Derived</t>
  </si>
  <si>
    <t>The cross reference table between the Marketing Activity and Outcome Tables.</t>
  </si>
  <si>
    <t>This contains the raw relationships that could be attributed.</t>
  </si>
  <si>
    <t>Not useful for Other Analytical purposes.</t>
  </si>
  <si>
    <t>Each Row represents the relationship between an outcome and an activity for a Given model.</t>
  </si>
  <si>
    <t>Person</t>
  </si>
  <si>
    <t>This contains all information related to an individual who is a customer or prospect</t>
  </si>
  <si>
    <t>Used as part of the linking chain for activities through to outcomes.
Person attributes may contribute to external factors for weighting of attribution.</t>
  </si>
  <si>
    <t>May be used for non attribution analytics looking at specific person activity.
Useful for specific attribution investigation and validation.</t>
  </si>
  <si>
    <t>To be decided, Might be outside the scope of this project to resolve person identities.
Suggested initially maintain the grain of the source systems person objects. So a Row represents one marketo person record,…</t>
  </si>
  <si>
    <t>Company</t>
  </si>
  <si>
    <t>This represents a company entity at potentially multiple grains.</t>
  </si>
  <si>
    <t>Used as part of the linking chain for activities through to outcomes.
People link to a company, Outcomes link to a company,
Companies link to other companies through thier hierachy.
Company attributes may contribute to external factors for weighting of attribution.</t>
  </si>
  <si>
    <t>May be used for non attribution analytics looking at specific company activity.
Useful for specific attribution investigation and validation.</t>
  </si>
  <si>
    <t>Each Row represents on company object at a specific BT grain, I.E. CUG or Billing Account,…
These objects would have self hierarchicle relationships that links for example billing accounts to CUGs.
So there would be a row for each billing account then a seperate row for each CUG,…
The MDM project may result in a more standardised object being available. At which point it may be that all activity and Outcomes can be standardised to a specific grain.</t>
  </si>
  <si>
    <t>Person Company Role</t>
  </si>
  <si>
    <t>Represents the relationship a person has with a company. I.E. decision maker, influences.
Enables the concept of a person have relationships with multiple companies.</t>
  </si>
  <si>
    <t>Used as part of the linking of activity to outcome.
Role used for attribution wieghting and filtering.</t>
  </si>
  <si>
    <t>Useful for other non attribution analytical views.</t>
  </si>
  <si>
    <t>Each row represents a the role a person has with a company.
The same person may be linked to the same company multiple times with different roles. this would be multiple rows.</t>
  </si>
  <si>
    <t>Orders</t>
  </si>
  <si>
    <t>Point in Time revenue generating events related to a specific company and product.</t>
  </si>
  <si>
    <t>This is an outcome to be attributed to influence activities.</t>
  </si>
  <si>
    <t>Used to show the attributed outcomes</t>
  </si>
  <si>
    <t>Each Row should be a single product, sold at a specific point in time, to a specific company.
Order of multiple units could be grouped to a single row.
Mutiple different products sold at the same time to the same company as part of a single purchase event should still be different rows.</t>
  </si>
  <si>
    <t>Opportunities</t>
  </si>
  <si>
    <t>The Opportunity to have a sales focussed discussion/process with an individual to sell a specific product, group of products, or package. With an end success for failure result.</t>
  </si>
  <si>
    <r>
      <t xml:space="preserve">Each Row represents a period of time attempting to sell a to a specific interest for a specific company. This should end in a success or failure.
A Second row could represent a further attempt to sell to the same interest to the same company at a different time. E.g. Each yearly renewal.
Multiple individuals can be involved with a single opportunity this would be 1 row.
Two distinct groups of individuals E.G. different local decision makers at different sites, Could be seperate rows for the same interest at the same company. If it was possible for these to have different outcomes.
An Opportunity could be selling multiple Products.
</t>
    </r>
    <r>
      <rPr>
        <b/>
        <sz val="11"/>
        <color theme="1"/>
        <rFont val="Aptos Narrow"/>
        <family val="2"/>
        <scheme val="minor"/>
      </rPr>
      <t>Ultimately this should match the current in system opportunity grain.</t>
    </r>
  </si>
  <si>
    <t>n</t>
  </si>
  <si>
    <t>Customer Value Change</t>
  </si>
  <si>
    <t>Logic to be derived</t>
  </si>
  <si>
    <t>Point in time changes in customer value taking into account all product/Subscription changes happening at that account.</t>
  </si>
  <si>
    <t>Each Row represents a company and a time period for that company, Showing its value change.
There should be no overlapping of time periods for that company.
Suggestion this is grouped to a monthly time period. I.E. each row represents the value change for a company over a month.
If there was no value change then no row needs to exist.</t>
  </si>
  <si>
    <t>Retention</t>
  </si>
  <si>
    <t>Point in Time where companies started &amp; cease to be a customer of BT.</t>
  </si>
  <si>
    <t>Each Row represents the point in time that a company changed its status as a customer with each BT Brand.
If a company leaves and rejoins and leaves again there would be multiple rows for each of these events.
If a company leaves as a BT and EE customer there would be two seperate rows for these events.</t>
  </si>
  <si>
    <t>Attribution Model Output Table</t>
  </si>
  <si>
    <t xml:space="preserve">Data Science Team </t>
  </si>
  <si>
    <t>Percentages that a model has assigned as the impact of a marketing activity to an outcome.</t>
  </si>
  <si>
    <t>This is the Main output for the attribution modelling</t>
  </si>
  <si>
    <t>Core to all attribution metrics</t>
  </si>
  <si>
    <t>Each Row represents a single marketing activity linked to a single outcome for a particular model.
There may be multiple models that have assigned different attribution levels for the same marketing activity to the same outcome element.
Within a single model there would neven be multiple entries for the same marketing activity and outcome element interaction.
Not every marketing activity will be linked to event outcome element.</t>
  </si>
  <si>
    <t>Attribution Model</t>
  </si>
  <si>
    <t>Description of the Model and Run parameters</t>
  </si>
  <si>
    <t>This is suplimentary information to the main output for the attribution modelling.</t>
  </si>
  <si>
    <t>Used to manage and identify which model should be used in which circumstance and when models should no longer be shown in the dashboarding views.</t>
  </si>
  <si>
    <t>Each Row represents an different model or iteration of a model.
Model iterations would be where all the data has been recalculated with some meaningful change to input parameters.</t>
  </si>
  <si>
    <t>Products</t>
  </si>
  <si>
    <t>Describes the BT Product Catelogue at different levels and contains the hierachy of products</t>
  </si>
  <si>
    <t>Enables linking of both marketing activity and outcomes to the same products for relevance matching.</t>
  </si>
  <si>
    <t>Used for comparing and filtering across all levels.</t>
  </si>
  <si>
    <t>Each Row represents a product or group or family, All levels of heirachy are contained.</t>
  </si>
  <si>
    <t>Date Dimension</t>
  </si>
  <si>
    <t>Calendar Table that contains all dates, For a unified reference.
Expecting something like this already exists close to other analytics use cases.</t>
  </si>
  <si>
    <t>Used for Date difference calculations and core attribution logic matching</t>
  </si>
  <si>
    <t>Dashboard Filtering and timeline Dimensions</t>
  </si>
  <si>
    <t>Each Row Represents a Day</t>
  </si>
  <si>
    <t>Object</t>
  </si>
  <si>
    <t>Purpose(modelling)</t>
  </si>
  <si>
    <t>Purpose(Analytics)</t>
  </si>
  <si>
    <t>Format</t>
  </si>
  <si>
    <t>Example Values</t>
  </si>
  <si>
    <t>Tokenised</t>
  </si>
  <si>
    <t>Tokenised Reason</t>
  </si>
  <si>
    <t>Requirement</t>
  </si>
  <si>
    <t>link_id</t>
  </si>
  <si>
    <t>Unique Identifier for this particular link</t>
  </si>
  <si>
    <t>PK</t>
  </si>
  <si>
    <t>activity_id</t>
  </si>
  <si>
    <t>Identifies the specific marketing activity being linked</t>
  </si>
  <si>
    <t>FK -&gt; Activity.Activity_ID</t>
  </si>
  <si>
    <t>interaction_id</t>
  </si>
  <si>
    <t>Identifies the specific interaction that is being linked</t>
  </si>
  <si>
    <t>FK -&gt; Interaction.Interaction_ID</t>
  </si>
  <si>
    <t>outcome_type</t>
  </si>
  <si>
    <t>Identifies which outcome table is being linked</t>
  </si>
  <si>
    <t>Picklist</t>
  </si>
  <si>
    <t>outcome_id</t>
  </si>
  <si>
    <t>Identifies the specific outcome within that table that is linked.</t>
  </si>
  <si>
    <t>FK -&gt; Outcome_Type.Outcome_ID</t>
  </si>
  <si>
    <t>company_id</t>
  </si>
  <si>
    <t>Identifies the company that carried out the interaction and is related to the outcome.</t>
  </si>
  <si>
    <t>FK -&gt; Company.Company_ID</t>
  </si>
  <si>
    <t>person_id</t>
  </si>
  <si>
    <t>Identifies the Person related to the activity or interaction.</t>
  </si>
  <si>
    <t>FK -&gt; Person.Person_ID</t>
  </si>
  <si>
    <t>relation_type</t>
  </si>
  <si>
    <t>Classify how the Activity was related to the outcome. Its possible there were multiple methods to associate the activity with the outcome. This identifies the most confident of linkage types.</t>
  </si>
  <si>
    <r>
      <rPr>
        <b/>
        <sz val="11"/>
        <color theme="1"/>
        <rFont val="Aptos Narrow"/>
        <family val="2"/>
        <scheme val="minor"/>
      </rPr>
      <t>Direct</t>
    </r>
    <r>
      <rPr>
        <sz val="11"/>
        <color theme="1"/>
        <rFont val="Aptos Narrow"/>
        <family val="2"/>
        <scheme val="minor"/>
      </rPr>
      <t xml:space="preserve"> - Activity can be directly linked to the outcome I.E. they bought on the call.
</t>
    </r>
    <r>
      <rPr>
        <b/>
        <sz val="11"/>
        <color theme="1"/>
        <rFont val="Aptos Narrow"/>
        <family val="2"/>
        <scheme val="minor"/>
      </rPr>
      <t>Known Person</t>
    </r>
    <r>
      <rPr>
        <sz val="11"/>
        <color theme="1"/>
        <rFont val="Aptos Narrow"/>
        <family val="2"/>
        <scheme val="minor"/>
      </rPr>
      <t xml:space="preserve"> - The person that carried out the interaction/was targeted by activity is linked to the company that had the outcome.
</t>
    </r>
    <r>
      <rPr>
        <b/>
        <sz val="11"/>
        <color theme="1"/>
        <rFont val="Aptos Narrow"/>
        <family val="2"/>
        <scheme val="minor"/>
      </rPr>
      <t>Known company</t>
    </r>
    <r>
      <rPr>
        <sz val="11"/>
        <color theme="1"/>
        <rFont val="Aptos Narrow"/>
        <family val="2"/>
        <scheme val="minor"/>
      </rPr>
      <t xml:space="preserve"> - The company that was targeted by activity or carried out the interaction could be confidently identified and that company is linked to the outcome.
</t>
    </r>
    <r>
      <rPr>
        <b/>
        <sz val="11"/>
        <color theme="1"/>
        <rFont val="Aptos Narrow"/>
        <family val="2"/>
        <scheme val="minor"/>
      </rPr>
      <t xml:space="preserve">Inferred company </t>
    </r>
    <r>
      <rPr>
        <sz val="11"/>
        <color theme="1"/>
        <rFont val="Aptos Narrow"/>
        <family val="2"/>
        <scheme val="minor"/>
      </rPr>
      <t xml:space="preserve">- The activity was likely carried out be the company that is linked to the activity.
</t>
    </r>
    <r>
      <rPr>
        <b/>
        <sz val="11"/>
        <color theme="1"/>
        <rFont val="Aptos Narrow"/>
        <family val="2"/>
        <scheme val="minor"/>
      </rPr>
      <t>Inferred via Audience</t>
    </r>
    <r>
      <rPr>
        <sz val="11"/>
        <color theme="1"/>
        <rFont val="Aptos Narrow"/>
        <family val="2"/>
        <scheme val="minor"/>
      </rPr>
      <t xml:space="preserve"> - The individual / company was included in the audience for the marketing activity.</t>
    </r>
  </si>
  <si>
    <t>time_lag</t>
  </si>
  <si>
    <t>Time Between the Activity and the outcome * modelling may prefer to calculate from source fields.</t>
  </si>
  <si>
    <t>Time Difference</t>
  </si>
  <si>
    <t>model_output_id</t>
  </si>
  <si>
    <t>Unique Identifier for the model output given for this link and model.</t>
  </si>
  <si>
    <t>ID - PK</t>
  </si>
  <si>
    <t>Which is the link this result relates to</t>
  </si>
  <si>
    <t>ID - FK</t>
  </si>
  <si>
    <t>model_id</t>
  </si>
  <si>
    <t>Which Model has provided this result</t>
  </si>
  <si>
    <t>attribution_weight</t>
  </si>
  <si>
    <t>What is the proportion of the outcome that was caused by the activity as calculated by the model.</t>
  </si>
  <si>
    <t>Float</t>
  </si>
  <si>
    <t>Attrribution Model</t>
  </si>
  <si>
    <t>Unique Identifier for the model</t>
  </si>
  <si>
    <t>model_name</t>
  </si>
  <si>
    <t>Name given the the model</t>
  </si>
  <si>
    <t>String</t>
  </si>
  <si>
    <t>V01.0_Rules_Based_with_Guardrails</t>
  </si>
  <si>
    <t>model_start_date</t>
  </si>
  <si>
    <t>When was the model usable from</t>
  </si>
  <si>
    <t>Date</t>
  </si>
  <si>
    <t>model_end_date</t>
  </si>
  <si>
    <t>When does the model cease to be useable.</t>
  </si>
  <si>
    <t>model_status</t>
  </si>
  <si>
    <t>is the model validated and usable, or retired</t>
  </si>
  <si>
    <t>model_type</t>
  </si>
  <si>
    <t>Classifies the models that are produced by the modelling team by which techniques they use</t>
  </si>
  <si>
    <t>Output from the modelling team</t>
  </si>
  <si>
    <t>Used to allow end users to select the appropriate model and understand at a high level how that model is approaching attribution.</t>
  </si>
  <si>
    <t>Rules based, learned, TBC from Modelling Team</t>
  </si>
  <si>
    <t>outcome_used</t>
  </si>
  <si>
    <t xml:space="preserve">Which outcome is this model Attributing for </t>
  </si>
  <si>
    <t>Raised Orders, Completed Orders, Customer Value Change, Churn, leads, Lead Conversion</t>
  </si>
  <si>
    <t>model_owner</t>
  </si>
  <si>
    <t>Current Owner of the model implimentation</t>
  </si>
  <si>
    <t>Petros</t>
  </si>
  <si>
    <t>campaign_id</t>
  </si>
  <si>
    <t>Primary Identified for a campaign, This could either be the Monday code or a GCP generated ID, using the Monday code as a proxy identifier.</t>
  </si>
  <si>
    <t>campaign_name</t>
  </si>
  <si>
    <t>The Unique business understandable short name of the campaign.</t>
  </si>
  <si>
    <t>created_date</t>
  </si>
  <si>
    <t>Date the Campaign was created (in Monday.com)</t>
  </si>
  <si>
    <t>start_date</t>
  </si>
  <si>
    <t>Date the campaign First went live and it was possible for a person to interact with the campaigns content.</t>
  </si>
  <si>
    <t>end_date</t>
  </si>
  <si>
    <t>Date the campaign finished, the content is no longer being shared and new interactions are either impossible or unlikely.</t>
  </si>
  <si>
    <t>budget_timeframe</t>
  </si>
  <si>
    <t>The Quarter? Budget that was allocated to the development and support of this campaign. TBC this may need to be a Multi Line/ separate object depending on data source.</t>
  </si>
  <si>
    <t>N/A - When budget was allocated shouldn't have any impact of overall campaign attribution</t>
  </si>
  <si>
    <t>Support Views look at Spend vs outcome for appropriate ROI analysis.</t>
  </si>
  <si>
    <t>targeted_audience_id</t>
  </si>
  <si>
    <t>** Might not be directly relevant might primarially be joined via the Activity</t>
  </si>
  <si>
    <t>FK -&gt; Audience.Audience_ID</t>
  </si>
  <si>
    <t>parent_campaign_id</t>
  </si>
  <si>
    <t>Identifies a parent campaign that might encompass multiple child campaigns.</t>
  </si>
  <si>
    <t>Modelling would focus on the lowest level of campaign</t>
  </si>
  <si>
    <t>For grouping and organisation of campaigns as well as handling roleup and agreegation to different levels.</t>
  </si>
  <si>
    <t>FK -&gt;Campaigns.Campaign_ID</t>
  </si>
  <si>
    <t>costs_anticipated</t>
  </si>
  <si>
    <t>Planned Cost of the campaign, How much of the budget has been provisionally allocated.</t>
  </si>
  <si>
    <t>costs_actuals</t>
  </si>
  <si>
    <t>The actual tracked cost for this campaign. TBC if this is just external cost of if there is also an internal effort considered here.</t>
  </si>
  <si>
    <t>outcome_targets</t>
  </si>
  <si>
    <t>Likely Multiple Fields, E.G. Expected uplift in order amounts. TBC with Monday.com setup what is available.</t>
  </si>
  <si>
    <t>N/A</t>
  </si>
  <si>
    <t>Visual to show actuals vs Targets Able to show which campaigns are performing below or above expectations.</t>
  </si>
  <si>
    <t>brand</t>
  </si>
  <si>
    <t>Which Brand is the Campaign Representing</t>
  </si>
  <si>
    <t>Allow limiting or wieghting of attribution based on Brand matching between activity and outcome.</t>
  </si>
  <si>
    <t>Dimension for Filter / Comparison</t>
  </si>
  <si>
    <t>BT Business
EE Business
BT Consumer
EE Consumer</t>
  </si>
  <si>
    <t>business_unit</t>
  </si>
  <si>
    <t>Which Business Unit is the campaign Targeting</t>
  </si>
  <si>
    <t>SMB, CPS, Global</t>
  </si>
  <si>
    <t>dmo_owner</t>
  </si>
  <si>
    <t>Or another table that identifies the roles associated with the campaign.</t>
  </si>
  <si>
    <t>???_owner</t>
  </si>
  <si>
    <t>product_id</t>
  </si>
  <si>
    <t>Identifies the Product the Campaign Is Targeting</t>
  </si>
  <si>
    <t>FK -&gt; Product.Product_ID</t>
  </si>
  <si>
    <t>objective</t>
  </si>
  <si>
    <t>What part of the customer lifecycle is being targeted</t>
  </si>
  <si>
    <t>Welcome
Acquisition
Upsell
Cross-sell
Retention
In-Life
Service
Migration
Out of Contract</t>
  </si>
  <si>
    <t>partner</t>
  </si>
  <si>
    <t>Company that is partnering, supporting, or running the campaign. E.G. a Joint Event with a Vendor.</t>
  </si>
  <si>
    <t>channel_id</t>
  </si>
  <si>
    <t>GCP Generated</t>
  </si>
  <si>
    <t>PK to be referenced by other objects.</t>
  </si>
  <si>
    <t>name</t>
  </si>
  <si>
    <t>Name Representing the channel</t>
  </si>
  <si>
    <t>Used for grouping and comparison within dashboards.</t>
  </si>
  <si>
    <t>group</t>
  </si>
  <si>
    <t>The Broad category of communication styles this channel is part of.</t>
  </si>
  <si>
    <t>Enumerated String</t>
  </si>
  <si>
    <r>
      <rPr>
        <b/>
        <sz val="11"/>
        <color theme="1"/>
        <rFont val="Aptos Narrow"/>
        <family val="2"/>
        <scheme val="minor"/>
      </rPr>
      <t>Above the Line</t>
    </r>
    <r>
      <rPr>
        <sz val="11"/>
        <color theme="1"/>
        <rFont val="Aptos Narrow"/>
        <family val="2"/>
        <scheme val="minor"/>
      </rPr>
      <t xml:space="preserve"> - Broad Mass market campaigns to a loosely or undefined audience.
</t>
    </r>
    <r>
      <rPr>
        <b/>
        <sz val="11"/>
        <color theme="1"/>
        <rFont val="Aptos Narrow"/>
        <family val="2"/>
        <scheme val="minor"/>
      </rPr>
      <t xml:space="preserve">Below the Line </t>
    </r>
    <r>
      <rPr>
        <sz val="11"/>
        <color theme="1"/>
        <rFont val="Aptos Narrow"/>
        <family val="2"/>
        <scheme val="minor"/>
      </rPr>
      <t xml:space="preserve">- Targeted Communications to a known audience.
</t>
    </r>
    <r>
      <rPr>
        <b/>
        <sz val="11"/>
        <color theme="1"/>
        <rFont val="Aptos Narrow"/>
        <family val="2"/>
        <scheme val="minor"/>
      </rPr>
      <t>Sales</t>
    </r>
    <r>
      <rPr>
        <sz val="11"/>
        <color theme="1"/>
        <rFont val="Aptos Narrow"/>
        <family val="2"/>
        <scheme val="minor"/>
      </rPr>
      <t xml:space="preserve"> - One to One communications to an individual to support an existing or potential sales opportunity.</t>
    </r>
  </si>
  <si>
    <t>identifiable_method</t>
  </si>
  <si>
    <t>Describes how  this channels activity can be linked to Orders.</t>
  </si>
  <si>
    <r>
      <rPr>
        <b/>
        <sz val="11"/>
        <color theme="1"/>
        <rFont val="Aptos Narrow"/>
        <family val="2"/>
        <scheme val="minor"/>
      </rPr>
      <t xml:space="preserve">Direct Relationship </t>
    </r>
    <r>
      <rPr>
        <sz val="11"/>
        <color theme="1"/>
        <rFont val="Aptos Narrow"/>
        <family val="2"/>
        <scheme val="minor"/>
      </rPr>
      <t>- There is a Direct chain of actions by the customer linking this activity to the order.</t>
    </r>
    <r>
      <rPr>
        <b/>
        <sz val="11"/>
        <color theme="1"/>
        <rFont val="Aptos Narrow"/>
        <family val="2"/>
        <scheme val="minor"/>
      </rPr>
      <t xml:space="preserve">
Known Person</t>
    </r>
    <r>
      <rPr>
        <sz val="11"/>
        <color theme="1"/>
        <rFont val="Aptos Narrow"/>
        <family val="2"/>
        <scheme val="minor"/>
      </rPr>
      <t xml:space="preserve"> - From outbound targeted communication.
</t>
    </r>
    <r>
      <rPr>
        <b/>
        <sz val="11"/>
        <color theme="1"/>
        <rFont val="Aptos Narrow"/>
        <family val="2"/>
        <scheme val="minor"/>
      </rPr>
      <t xml:space="preserve">Self Identified </t>
    </r>
    <r>
      <rPr>
        <sz val="11"/>
        <color theme="1"/>
        <rFont val="Aptos Narrow"/>
        <family val="2"/>
        <scheme val="minor"/>
      </rPr>
      <t xml:space="preserve">- Person has Identified themselves during engagement.
</t>
    </r>
    <r>
      <rPr>
        <b/>
        <sz val="11"/>
        <color theme="1"/>
        <rFont val="Aptos Narrow"/>
        <family val="2"/>
        <scheme val="minor"/>
      </rPr>
      <t xml:space="preserve">IP Inferred </t>
    </r>
    <r>
      <rPr>
        <sz val="11"/>
        <color theme="1"/>
        <rFont val="Aptos Narrow"/>
        <family val="2"/>
        <scheme val="minor"/>
      </rPr>
      <t xml:space="preserve">- Identified the company through their Visitor IP address
</t>
    </r>
    <r>
      <rPr>
        <b/>
        <sz val="11"/>
        <color theme="1"/>
        <rFont val="Aptos Narrow"/>
        <family val="2"/>
        <scheme val="minor"/>
      </rPr>
      <t>Audience Inferred</t>
    </r>
    <r>
      <rPr>
        <sz val="11"/>
        <color theme="1"/>
        <rFont val="Aptos Narrow"/>
        <family val="2"/>
        <scheme val="minor"/>
      </rPr>
      <t xml:space="preserve"> - Identified the company through Target audience inference.</t>
    </r>
  </si>
  <si>
    <t>type</t>
  </si>
  <si>
    <t>Another way we could group channels is by the different high level delivery mechanisms involved.</t>
  </si>
  <si>
    <r>
      <rPr>
        <b/>
        <sz val="11"/>
        <color theme="1"/>
        <rFont val="Aptos Narrow"/>
        <family val="2"/>
        <scheme val="minor"/>
      </rPr>
      <t xml:space="preserve">Physical - </t>
    </r>
    <r>
      <rPr>
        <sz val="11"/>
        <color theme="1"/>
        <rFont val="Aptos Narrow"/>
        <family val="2"/>
        <scheme val="minor"/>
      </rPr>
      <t xml:space="preserve">Channel is delivered via a physical object, I.E. Print, DM ect.
</t>
    </r>
    <r>
      <rPr>
        <b/>
        <sz val="11"/>
        <color theme="1"/>
        <rFont val="Aptos Narrow"/>
        <family val="2"/>
        <scheme val="minor"/>
      </rPr>
      <t>Digital</t>
    </r>
    <r>
      <rPr>
        <sz val="11"/>
        <color theme="1"/>
        <rFont val="Aptos Narrow"/>
        <family val="2"/>
        <scheme val="minor"/>
      </rPr>
      <t xml:space="preserve"> - Channel is delivered digitally
</t>
    </r>
    <r>
      <rPr>
        <b/>
        <sz val="11"/>
        <color theme="1"/>
        <rFont val="Aptos Narrow"/>
        <family val="2"/>
        <scheme val="minor"/>
      </rPr>
      <t>Conversation</t>
    </r>
    <r>
      <rPr>
        <sz val="11"/>
        <color theme="1"/>
        <rFont val="Aptos Narrow"/>
        <family val="2"/>
        <scheme val="minor"/>
      </rPr>
      <t xml:space="preserve"> - Channel is delivered by a BT representative as part of a conversation.</t>
    </r>
  </si>
  <si>
    <t>Unique Identifier for the Interaction</t>
  </si>
  <si>
    <t>What was the type of intereaction. E.G. Open, Click, Visit, Call,…</t>
  </si>
  <si>
    <t>date</t>
  </si>
  <si>
    <t>When did this interaction happen.</t>
  </si>
  <si>
    <t>duration</t>
  </si>
  <si>
    <t>How long did the interaction last.</t>
  </si>
  <si>
    <t>INTERVAL</t>
  </si>
  <si>
    <t>1-2 3 4:5:6.789999
https://cloud.google.com/bigquery/docs/reference/standard-sql/interval_functions</t>
  </si>
  <si>
    <t>follow_from_interaction</t>
  </si>
  <si>
    <t>If interaction came from a separate interaction. I.E. click on link -&gt; View Webpage -&gt; Submit Form</t>
  </si>
  <si>
    <t>What was the Activity this interaction is related to.</t>
  </si>
  <si>
    <t>Optional Needs One of person or company</t>
  </si>
  <si>
    <t>interacted_person_id</t>
  </si>
  <si>
    <t>Identifies the person that carried out the interaction.</t>
  </si>
  <si>
    <t>interacted_company_id</t>
  </si>
  <si>
    <t>Identifies the company that carried out the interaction.</t>
  </si>
  <si>
    <t>identification_method</t>
  </si>
  <si>
    <t>What method was used to identify the individual or company for this interaction.</t>
  </si>
  <si>
    <t>Known From outbound Communication, Self Identification, Cookie match, IP Company Match, None</t>
  </si>
  <si>
    <t>data_source</t>
  </si>
  <si>
    <t>Which system tracked this interaction</t>
  </si>
  <si>
    <t>marketing_asset_id</t>
  </si>
  <si>
    <t>Primary key for each unique Marketing Asset</t>
  </si>
  <si>
    <t>uses_dynamic_content</t>
  </si>
  <si>
    <t>identifies if the content contains dynamic personalisation specific to the audience.</t>
  </si>
  <si>
    <t>pega_flag</t>
  </si>
  <si>
    <t>Does the asset use pega recommendations as part of the content.</t>
  </si>
  <si>
    <t>Free Text Friendly short description of the asset</t>
  </si>
  <si>
    <t>For identifying specific assets within views.</t>
  </si>
  <si>
    <t>varient</t>
  </si>
  <si>
    <t>* Should this differentiate the asset or be on the activity, Or actual a sub Object.</t>
  </si>
  <si>
    <t>Links to the product or product family that this asset is promoting.</t>
  </si>
  <si>
    <t>Used to match the target product for a marketing asset with outcomes for the same product family as a potential differentiator for attribution.</t>
  </si>
  <si>
    <t>Allows grouping and comparison of marketing assets by the product they are promoting.</t>
  </si>
  <si>
    <t>Optional</t>
  </si>
  <si>
    <t>source_table</t>
  </si>
  <si>
    <t>Identifies the GCP table that this Row is sourced from</t>
  </si>
  <si>
    <t>source_id_field</t>
  </si>
  <si>
    <t>Identifies the PK field of that table.</t>
  </si>
  <si>
    <t>source_id</t>
  </si>
  <si>
    <t>The Source Table PK Value.</t>
  </si>
  <si>
    <t>order_id</t>
  </si>
  <si>
    <t>Unique Identifier for this order.</t>
  </si>
  <si>
    <t>Unique Friendly name of the order, May be a concatenation of product, Time and company.</t>
  </si>
  <si>
    <t>Which particular product was being sold in the order. *It might be actual we relate the order to a more complex product table depending on how the source data is structured</t>
  </si>
  <si>
    <t>FK -&gt; Product.product_id</t>
  </si>
  <si>
    <t>action_type</t>
  </si>
  <si>
    <t xml:space="preserve">In what part of the customer lifecycle is this order, what is its context based on current  company status. </t>
  </si>
  <si>
    <t>String Enum</t>
  </si>
  <si>
    <t>"No Action", "Cease", "Modify", "Provide", "Mixed"</t>
  </si>
  <si>
    <t>transaction_channel</t>
  </si>
  <si>
    <t xml:space="preserve">How did the customer make the order
</t>
  </si>
  <si>
    <t>Digitally - Order was processed on the website
Phone - Order was processed over the phone
Physically - Order was processed and agreed F2F?</t>
  </si>
  <si>
    <t>date_raised</t>
  </si>
  <si>
    <t>Date the order was agreed by the client, They have commited to buy at agreed price</t>
  </si>
  <si>
    <t>transaction_date</t>
  </si>
  <si>
    <t>When was the order actually transacted</t>
  </si>
  <si>
    <t>sales_order_value</t>
  </si>
  <si>
    <t>sales_order_value_gross_margin</t>
  </si>
  <si>
    <t>initial_contract_value</t>
  </si>
  <si>
    <t>initial_contract_value_gross_margin</t>
  </si>
  <si>
    <t>average_revenue_per_unit</t>
  </si>
  <si>
    <t>Company the order is for * might their be cases where the paying company is meaningfully distinct from the using company</t>
  </si>
  <si>
    <t>contact_id</t>
  </si>
  <si>
    <t>The Key Contact Associated with Making the order, It might be we need a full relationship table that dictates the roles for the order, Dependant on available data.</t>
  </si>
  <si>
    <t>date_completed</t>
  </si>
  <si>
    <t>When is the order delivery completed and revenue is confirmed.</t>
  </si>
  <si>
    <t>causal_interaction_id</t>
  </si>
  <si>
    <t>The Iteraction that lead to the sale. E.G. the call. Foreign Key to the Interaction table.</t>
  </si>
  <si>
    <t>related_opportunity_id</t>
  </si>
  <si>
    <t>Which Opportunity preceeded and drove this order</t>
  </si>
  <si>
    <t>FK -&gt; Opportunity.Opportunity_ID</t>
  </si>
  <si>
    <t>contract_term</t>
  </si>
  <si>
    <t>Agreed length of the contract.</t>
  </si>
  <si>
    <t>previous_order_id</t>
  </si>
  <si>
    <t>Link to another order where this order was a renewal of a previous order.</t>
  </si>
  <si>
    <t>FK -&gt; Orders.Order_ID</t>
  </si>
  <si>
    <t>ceased_date</t>
  </si>
  <si>
    <t>Date when the subscription expires or date when subscription is cancled. For non subscription products this would be blank</t>
  </si>
  <si>
    <t>product_price_type</t>
  </si>
  <si>
    <t>Identifies if it’s a one off or recurring revenue sales. I.E&gt; Subscription.</t>
  </si>
  <si>
    <t>product_quantity</t>
  </si>
  <si>
    <t>cessetion_reason</t>
  </si>
  <si>
    <t>Cessation reason of the Order Item. Stopped after use</t>
  </si>
  <si>
    <t>cancel_reason</t>
  </si>
  <si>
    <t>Reason for canceling, Stopped without using or applying, I bought then decided not to. I requested an adjustment then decided I didn't want the change.</t>
  </si>
  <si>
    <t>audience_id</t>
  </si>
  <si>
    <t>The Expected audience for this Activity</t>
  </si>
  <si>
    <t>Used to limit which people / companies are likely to have been impacted by this activity</t>
  </si>
  <si>
    <t>Which campaign was this activity associated with.</t>
  </si>
  <si>
    <t>FK -&gt; Campaigns.Campaign_ID</t>
  </si>
  <si>
    <t>control</t>
  </si>
  <si>
    <t>Identifies if this record is actual part of the control for this campaign, As such wasn't sent the communications * Might be better handled in a different way.</t>
  </si>
  <si>
    <t>Needed to support automating the control cell measurement which is a guardrail for our attribution model. Also Identifies those that for modelling purposes have been excluded so shouldn't have any revenue attributed due to this activity</t>
  </si>
  <si>
    <t>Needed to showcase at a campaign level the control cell vs not for control cell uplift visualisation.</t>
  </si>
  <si>
    <t>Boolean</t>
  </si>
  <si>
    <t>When the asset stopped being shared through this mechanism and interactions are either impossible or unlikely.</t>
  </si>
  <si>
    <t>id</t>
  </si>
  <si>
    <t>Unique Identifier for the activity</t>
  </si>
  <si>
    <t>Identifies the marketing asset that this marketing activity shares</t>
  </si>
  <si>
    <t>Optional Name of the activity, might not be needed may come from asset + Campaign.</t>
  </si>
  <si>
    <t>reach_companies</t>
  </si>
  <si>
    <t>The estimated or actual number of companies that would have had the opportunity to interact with this activity. * Company Granularity to be determined</t>
  </si>
  <si>
    <t>Combine with the audience size to estimate the likelyhood that anyone in the audience was impacted by this activity.</t>
  </si>
  <si>
    <t>potential Metric for future dashboards that are not currently in scope</t>
  </si>
  <si>
    <t>reach_individuals</t>
  </si>
  <si>
    <t>The estimated or actual number of individuals that would have had an opportunity to interact with this activity</t>
  </si>
  <si>
    <t>When the asset started to be shared through this mechanism and interactions are possible.</t>
  </si>
  <si>
    <t>status</t>
  </si>
  <si>
    <t>What is the status of the push activity, I.E. was it Delivered, Part of control cell,…</t>
  </si>
  <si>
    <t>system_id</t>
  </si>
  <si>
    <t>Which System facilitated this Activity</t>
  </si>
  <si>
    <t>targeted_company_id</t>
  </si>
  <si>
    <t>Identified the company that was targeted with the communication.</t>
  </si>
  <si>
    <t>targeted_person_id</t>
  </si>
  <si>
    <t>Identifies the person the marketing activity targeted.</t>
  </si>
  <si>
    <t>Name of the tool</t>
  </si>
  <si>
    <t>owner</t>
  </si>
  <si>
    <t>The BT team member that is responsible for this tool</t>
  </si>
  <si>
    <t>yearly_cost</t>
  </si>
  <si>
    <t>* We may want a more compex tracking method later. This should be the cost that is not campaign specific. I.E. General License and platform maintainance costs.</t>
  </si>
  <si>
    <t>Currency Pounds</t>
  </si>
  <si>
    <t>Sythentic ID given to this individiual</t>
  </si>
  <si>
    <t>persona</t>
  </si>
  <si>
    <t>GCP Table Reference</t>
  </si>
  <si>
    <t>FK -&gt; Source_Table. Source_ID_Field</t>
  </si>
  <si>
    <t>…</t>
  </si>
  <si>
    <t>other existing people related fields tbc.</t>
  </si>
  <si>
    <t>When this person started the role at the company (To BT knowledge)</t>
  </si>
  <si>
    <t>When this person ended the role at the company (To BT Knowledge)</t>
  </si>
  <si>
    <t xml:space="preserve">Optional </t>
  </si>
  <si>
    <t>role_type</t>
  </si>
  <si>
    <t>Identifies the Role the person had at the company,</t>
  </si>
  <si>
    <t>parent_company_id</t>
  </si>
  <si>
    <t>company_market_channel</t>
  </si>
  <si>
    <t>company_business_type</t>
  </si>
  <si>
    <t>Billing Account, CUG, WK</t>
  </si>
  <si>
    <t>CUG, Billing Account, SAC, World Key</t>
  </si>
  <si>
    <t>owner_id</t>
  </si>
  <si>
    <t>Who is the sales person assigned to manage this company as an account.</t>
  </si>
  <si>
    <t>vertical</t>
  </si>
  <si>
    <t>industry</t>
  </si>
  <si>
    <t>location</t>
  </si>
  <si>
    <t>This is a proxy field for some set of fields that identify company locations, can be aligned to source data structure.</t>
  </si>
  <si>
    <t>Other Related Company Fields TBC</t>
  </si>
  <si>
    <t>Friendly Name of the audience</t>
  </si>
  <si>
    <t>How is this audience identified</t>
  </si>
  <si>
    <t>audience_criteria_description</t>
  </si>
  <si>
    <t>An description of the requirements for the audience to fulfil</t>
  </si>
  <si>
    <t>audience_criteria_technical</t>
  </si>
  <si>
    <t>The technical implimentation of these audience requirements.</t>
  </si>
  <si>
    <t>propensity_model_used</t>
  </si>
  <si>
    <t>Identifies the propensity model that is used as part of the audience selection criteria. This would be a FK to another table.</t>
  </si>
  <si>
    <t>Dimensions for filter and comparison, Gives the end user the ability to understand the effectiveness of the propensity models.</t>
  </si>
  <si>
    <t>size_individuals</t>
  </si>
  <si>
    <t>The Estimated or actual count of individuals that form this audience.</t>
  </si>
  <si>
    <t>size_companies</t>
  </si>
  <si>
    <t>The Estimated or actual count of Companies that form this audience. *Company Granularity to be determined</t>
  </si>
  <si>
    <t>Unique reference to this change event</t>
  </si>
  <si>
    <t>The Date that the change occurred, Specifically when the new values took effect. This could be the start date of and order, or end date of an order.</t>
  </si>
  <si>
    <t>Identifes the specific product that this change referers to.</t>
  </si>
  <si>
    <t>sales_order_value_change</t>
  </si>
  <si>
    <t>The Difference in Sales Order Value, Before to after the change date</t>
  </si>
  <si>
    <t>sales_order_value_gross_margin_change</t>
  </si>
  <si>
    <t>The difference in SOV GM from before the change to after the change date</t>
  </si>
  <si>
    <t>initial_contract_value_change</t>
  </si>
  <si>
    <t>The difference in ICV from before to after the change date.</t>
  </si>
  <si>
    <t>initial_contract_value_gross_margin_change</t>
  </si>
  <si>
    <t>The Difference in ICV GM from before to after the change date.</t>
  </si>
  <si>
    <t>change_type</t>
  </si>
  <si>
    <t>Denotes what the type of change was, whether its at the start or end of a customer journey or in the midding.</t>
  </si>
  <si>
    <t>New Order
Renewal - Same Product
Renewal - Different Product
Lapsing</t>
  </si>
  <si>
    <t>prev_order_id</t>
  </si>
  <si>
    <t>Reference to the Order that contains the old values for this product. This may be empty if no previous order found.</t>
  </si>
  <si>
    <t>new_order_id</t>
  </si>
  <si>
    <t>Reference to the Order that contains the new values for this product. This may be empty if previous order is lapsing without renewal.</t>
  </si>
  <si>
    <t>Reference to the company that these products and the changes are associated with.</t>
  </si>
  <si>
    <t>Sythentic ID that represents the Unified Product ID.</t>
  </si>
  <si>
    <t>For other Tables to Join to</t>
  </si>
  <si>
    <t>For other Tables to Join To</t>
  </si>
  <si>
    <t>product_parent_id</t>
  </si>
  <si>
    <t>Reference to Products Parent i.e Which Family or group this product is in.</t>
  </si>
  <si>
    <t>Allows moving up the hierachy to identify the level of relevance between activity and outcome.</t>
  </si>
  <si>
    <t>FK -&gt; Products.Product_ID</t>
  </si>
  <si>
    <t>Short Human Understandable Name of the product.</t>
  </si>
  <si>
    <t>level</t>
  </si>
  <si>
    <t>The Level of the hierachy that this product is in.</t>
  </si>
  <si>
    <t>Tier 0, Tier 1, Tier 2 OR Product, Product Family, Product Group</t>
  </si>
  <si>
    <t>datekey</t>
  </si>
  <si>
    <t>This is the Date Primary Key</t>
  </si>
  <si>
    <t>Actual Date being represented</t>
  </si>
  <si>
    <t>financial_year</t>
  </si>
  <si>
    <t>Which financial Year this date falls within</t>
  </si>
  <si>
    <t>financial_quarter</t>
  </si>
  <si>
    <t>Which Financial Quarter this date falls into.</t>
  </si>
  <si>
    <t>financial_month_number</t>
  </si>
  <si>
    <t>Month Number within BT Financial Year.</t>
  </si>
  <si>
    <t>is_weekend</t>
  </si>
  <si>
    <t>is_holiday</t>
  </si>
  <si>
    <t>tool_id</t>
  </si>
  <si>
    <t>Sythentic ID given to head tool</t>
  </si>
  <si>
    <t>communication_mode</t>
  </si>
  <si>
    <t>Identifies if this is a push or pull communication.</t>
  </si>
  <si>
    <t>Helps understanding which attributes we would expect in the related marketing activities.</t>
  </si>
  <si>
    <t>Push
Pull</t>
  </si>
  <si>
    <t>Activity ID</t>
  </si>
  <si>
    <t>Outcome ID</t>
  </si>
  <si>
    <t>Outcome Type</t>
  </si>
  <si>
    <t>Link ID</t>
  </si>
  <si>
    <t>Interaction</t>
  </si>
  <si>
    <t>Contact</t>
  </si>
  <si>
    <t>Relation Type</t>
  </si>
  <si>
    <t>Time Lag (Days)</t>
  </si>
  <si>
    <t>Weight</t>
  </si>
  <si>
    <t>Outcome Value</t>
  </si>
  <si>
    <t>Attributed Amount</t>
  </si>
  <si>
    <t>Sales Order Value</t>
  </si>
  <si>
    <t>Sales Order Value Gross Margin</t>
  </si>
  <si>
    <t>Initial Contract Value</t>
  </si>
  <si>
    <t>Initial Contract Value Gross margin</t>
  </si>
  <si>
    <t>Average Revenue per Unit</t>
  </si>
  <si>
    <t>Opportunty Created</t>
  </si>
  <si>
    <t>a</t>
  </si>
  <si>
    <t>Direct Through Order</t>
  </si>
  <si>
    <t>Opportunty Won</t>
  </si>
  <si>
    <t>b</t>
  </si>
  <si>
    <t>Through Company</t>
  </si>
  <si>
    <t>h</t>
  </si>
  <si>
    <t>Inferred company</t>
  </si>
  <si>
    <t>c</t>
  </si>
  <si>
    <t>Through Contact &amp; Company</t>
  </si>
  <si>
    <t>d</t>
  </si>
  <si>
    <t>e</t>
  </si>
  <si>
    <t>f</t>
  </si>
  <si>
    <t>g</t>
  </si>
  <si>
    <t>Dashboards</t>
  </si>
  <si>
    <t>Dependancies</t>
  </si>
  <si>
    <t>Total Conversions</t>
  </si>
  <si>
    <t> Count of desired actions (purchases, sign-ups, etc.).</t>
  </si>
  <si>
    <t>Conversion Rate </t>
  </si>
  <si>
    <t xml:space="preserve"> (Conversions / Audience Size) × 100</t>
  </si>
  <si>
    <t>Time to Conversion </t>
  </si>
  <si>
    <t xml:space="preserve"> Avg. days between first marketing touchpoint and conversion.</t>
  </si>
  <si>
    <t>Conversion Rate by Channel </t>
  </si>
  <si>
    <t xml:space="preserve"> Conversions per channel / Total audience reached via that channel.</t>
  </si>
  <si>
    <t>Churn Rate </t>
  </si>
  <si>
    <t xml:space="preserve"> (Customers Lost / Total Customers at Start of Period) × 100</t>
  </si>
  <si>
    <t>Marketing Impact on Churn </t>
  </si>
  <si>
    <t xml:space="preserve"> Reduction in churn among customers exposed to marketing.</t>
  </si>
  <si>
    <t>Attributed Marketing Impact -</t>
  </si>
  <si>
    <t>Attributed Revenue per Channel </t>
  </si>
  <si>
    <t xml:space="preserve"> Revenue from customers exposed to marketing per channel.</t>
  </si>
  <si>
    <t>Incremental Lift from Marketing </t>
  </si>
  <si>
    <t xml:space="preserve"> (Conversion Rate of Exposed Group - Conversion Rate of Non-Exposed Group)</t>
  </si>
  <si>
    <t>Marketing Influence Score </t>
  </si>
  <si>
    <t xml:space="preserve"> Weighted impact of different marketing touchpoints on final outcomes.</t>
  </si>
  <si>
    <t>Multi-Touch Attribution Value per Path </t>
  </si>
  <si>
    <t xml:space="preserve"> Total attributed revenue divided by the % of conversions that followed a specific marketing sequence.</t>
  </si>
  <si>
    <t>Customer Segmentation &amp; Behavioural Trends -</t>
  </si>
  <si>
    <t>Customer Lifetime Value (CLV) Banding </t>
  </si>
  <si>
    <t xml:space="preserve"> Avg. revenue per customer over a defined period.</t>
  </si>
  <si>
    <t>Retention Rate by Audience Segment </t>
  </si>
  <si>
    <t xml:space="preserve"> % of customers retained within each segment (e.g., industry, location, tenure).</t>
  </si>
  <si>
    <t>Most Common Engagement Paths </t>
  </si>
  <si>
    <t xml:space="preserve"> Rank sequences of interactions that most often lead to conversion.</t>
  </si>
  <si>
    <t>Content Effectiveness Score </t>
  </si>
  <si>
    <t xml:space="preserve"> Engagement rate per marketing asset (emails, ads, videos, etc.).</t>
  </si>
  <si>
    <t>Business Description</t>
  </si>
  <si>
    <t>Technical Description</t>
  </si>
  <si>
    <t>Outcome Timeframe</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</si>
  <si>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 xml:space="preserve">, </t>
    </r>
    <r>
      <rPr>
        <sz val="11"/>
        <color theme="7"/>
        <rFont val="Aptos Narrow"/>
        <family val="2"/>
        <scheme val="minor"/>
      </rPr>
      <t>Audience Analysis</t>
    </r>
  </si>
  <si>
    <t xml:space="preserve">This is the Time that the outcome is recognised by the business. Here we are interested in the Raised date for orders, For other outcomes which field to use will vary
</t>
  </si>
  <si>
    <t>“This is the time that the outcome is recognized by the business. Here we are interested in the Raised date for orders. For other outcomes, which date field to use can vary.”</t>
  </si>
  <si>
    <r>
      <t xml:space="preserve">Typically derived from the “raised date” (or similar) in the orders/outcomes data. Stored in a field like </t>
    </r>
    <r>
      <rPr>
        <sz val="10"/>
        <color theme="1"/>
        <rFont val="Arial Unicode MS"/>
      </rPr>
      <t>outcome_date</t>
    </r>
    <r>
      <rPr>
        <sz val="11"/>
        <color theme="1"/>
        <rFont val="Aptos Narrow"/>
        <family val="2"/>
        <scheme val="minor"/>
      </rPr>
      <t xml:space="preserve"> or </t>
    </r>
    <r>
      <rPr>
        <sz val="10"/>
        <color theme="1"/>
        <rFont val="Arial Unicode MS"/>
      </rPr>
      <t>order_raised_date</t>
    </r>
    <r>
      <rPr>
        <sz val="11"/>
        <color theme="1"/>
        <rFont val="Aptos Narrow"/>
        <family val="2"/>
        <scheme val="minor"/>
      </rPr>
      <t xml:space="preserve">. Used as a </t>
    </r>
    <r>
      <rPr>
        <b/>
        <sz val="11"/>
        <color theme="1"/>
        <rFont val="Aptos Narrow"/>
        <family val="2"/>
        <scheme val="minor"/>
      </rPr>
      <t>filter</t>
    </r>
    <r>
      <rPr>
        <sz val="11"/>
        <color theme="1"/>
        <rFont val="Aptos Narrow"/>
        <family val="2"/>
        <scheme val="minor"/>
      </rPr>
      <t xml:space="preserve"> on dashboards to constrain the timeframe of recognized outcomes.</t>
    </r>
  </si>
  <si>
    <t>Business Segment</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</si>
  <si>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 xml:space="preserve">, </t>
    </r>
    <r>
      <rPr>
        <sz val="11"/>
        <color theme="7"/>
        <rFont val="Aptos Narrow"/>
        <family val="2"/>
        <scheme val="minor"/>
      </rPr>
      <t>Audience Analysis</t>
    </r>
    <r>
      <rPr>
        <sz val="11"/>
        <color theme="1"/>
        <rFont val="Aptos Narrow"/>
        <family val="2"/>
        <scheme val="minor"/>
      </rPr>
      <t xml:space="preserve">, </t>
    </r>
    <r>
      <rPr>
        <sz val="11"/>
        <color theme="8"/>
        <rFont val="Aptos Narrow"/>
        <family val="2"/>
        <scheme val="minor"/>
      </rPr>
      <t>Marketing Impact</t>
    </r>
    <r>
      <rPr>
        <sz val="11"/>
        <color theme="1"/>
        <rFont val="Aptos Narrow"/>
        <family val="2"/>
        <scheme val="minor"/>
      </rPr>
      <t xml:space="preserve">, </t>
    </r>
    <r>
      <rPr>
        <sz val="11"/>
        <color theme="9"/>
        <rFont val="Aptos Narrow"/>
        <family val="2"/>
        <scheme val="minor"/>
      </rPr>
      <t>Channel Impact</t>
    </r>
  </si>
  <si>
    <t>SMB, CPS</t>
  </si>
  <si>
    <t>“SMB, CPS”</t>
  </si>
  <si>
    <r>
      <t xml:space="preserve">A categorical/lookup field indicating the segment classification for each account or lead (e.g., </t>
    </r>
    <r>
      <rPr>
        <sz val="10"/>
        <color theme="1"/>
        <rFont val="Arial Unicode MS"/>
      </rPr>
      <t>'SMB'</t>
    </r>
    <r>
      <rPr>
        <sz val="11"/>
        <color theme="1"/>
        <rFont val="Aptos Narrow"/>
        <family val="2"/>
        <scheme val="minor"/>
      </rPr>
      <t xml:space="preserve">, </t>
    </r>
    <r>
      <rPr>
        <sz val="10"/>
        <color theme="1"/>
        <rFont val="Arial Unicode MS"/>
      </rPr>
      <t>'CPS'</t>
    </r>
    <r>
      <rPr>
        <sz val="11"/>
        <color theme="1"/>
        <rFont val="Aptos Narrow"/>
        <family val="2"/>
        <scheme val="minor"/>
      </rPr>
      <t xml:space="preserve">). Likely stored in a field like </t>
    </r>
    <r>
      <rPr>
        <sz val="10"/>
        <color theme="1"/>
        <rFont val="Arial Unicode MS"/>
      </rPr>
      <t>business_segment</t>
    </r>
    <r>
      <rPr>
        <sz val="11"/>
        <color theme="1"/>
        <rFont val="Aptos Narrow"/>
        <family val="2"/>
        <scheme val="minor"/>
      </rPr>
      <t xml:space="preserve"> in your master account/customer table.</t>
    </r>
  </si>
  <si>
    <t>???</t>
  </si>
  <si>
    <t xml:space="preserve">The Number of Accounts with Orders by the number of distinct accounts in the Audience.
</t>
  </si>
  <si>
    <t>Orders, Distinct Accounts, Audience</t>
  </si>
  <si>
    <t>“The Number of Accounts with Orders by the number of distinct Accounts in the Audience.”</t>
  </si>
  <si>
    <r>
      <t xml:space="preserve">A count of unique accounts that have placed an order </t>
    </r>
    <r>
      <rPr>
        <b/>
        <sz val="11"/>
        <color theme="1"/>
        <rFont val="Aptos Narrow"/>
        <family val="2"/>
        <scheme val="minor"/>
      </rPr>
      <t>divided by</t>
    </r>
    <r>
      <rPr>
        <sz val="11"/>
        <color theme="1"/>
        <rFont val="Aptos Narrow"/>
        <family val="2"/>
        <scheme val="minor"/>
      </rPr>
      <t xml:space="preserve"> the total number of distinct accounts in the relevant audience. E.g., </t>
    </r>
    <r>
      <rPr>
        <sz val="10"/>
        <color theme="1"/>
        <rFont val="Arial Unicode MS"/>
      </rPr>
      <t>COUNT(DISTINCT account_id WHERE has_order=true) / COUNT(DISTINCT account_id)</t>
    </r>
    <r>
      <rPr>
        <sz val="11"/>
        <color theme="1"/>
        <rFont val="Aptos Narrow"/>
        <family val="2"/>
        <scheme val="minor"/>
      </rPr>
      <t>. Often displayed as a raw count (“converted accounts”) or a rate (“conversion rate”).</t>
    </r>
  </si>
  <si>
    <t>Total Outcome Order Value</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</si>
  <si>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 xml:space="preserve">, </t>
    </r>
    <r>
      <rPr>
        <sz val="11"/>
        <color theme="6"/>
        <rFont val="Aptos Narrow"/>
        <family val="2"/>
        <scheme val="minor"/>
      </rPr>
      <t>Specific Company Analysis</t>
    </r>
    <r>
      <rPr>
        <sz val="11"/>
        <color theme="1"/>
        <rFont val="Aptos Narrow"/>
        <family val="2"/>
        <scheme val="minor"/>
      </rPr>
      <t xml:space="preserve">, </t>
    </r>
    <r>
      <rPr>
        <sz val="11"/>
        <color theme="7"/>
        <rFont val="Aptos Narrow"/>
        <family val="2"/>
        <scheme val="minor"/>
      </rPr>
      <t>Audience Analysis</t>
    </r>
  </si>
  <si>
    <r>
      <t xml:space="preserve">Sum of </t>
    </r>
    <r>
      <rPr>
        <b/>
        <sz val="11"/>
        <color theme="1"/>
        <rFont val="Aptos Narrow"/>
        <family val="2"/>
        <scheme val="minor"/>
      </rPr>
      <t>Total_SOV</t>
    </r>
    <r>
      <rPr>
        <sz val="11"/>
        <color theme="1"/>
        <rFont val="Aptos Narrow"/>
        <family val="2"/>
        <scheme val="minor"/>
      </rPr>
      <t xml:space="preserve"> for all </t>
    </r>
    <r>
      <rPr>
        <b/>
        <sz val="11"/>
        <color theme="1"/>
        <rFont val="Aptos Narrow"/>
        <family val="2"/>
        <scheme val="minor"/>
      </rPr>
      <t>raised</t>
    </r>
    <r>
      <rPr>
        <sz val="11"/>
        <color theme="1"/>
        <rFont val="Aptos Narrow"/>
        <family val="2"/>
        <scheme val="minor"/>
      </rPr>
      <t xml:space="preserve"> Orders
</t>
    </r>
  </si>
  <si>
    <t>“Sum of Total_SOV for all raised Orders.”</t>
  </si>
  <si>
    <r>
      <t xml:space="preserve">Aggregates the </t>
    </r>
    <r>
      <rPr>
        <b/>
        <sz val="11"/>
        <color theme="1"/>
        <rFont val="Aptos Narrow"/>
        <family val="2"/>
        <scheme val="minor"/>
      </rPr>
      <t>sum of value</t>
    </r>
    <r>
      <rPr>
        <sz val="11"/>
        <color theme="1"/>
        <rFont val="Aptos Narrow"/>
        <family val="2"/>
        <scheme val="minor"/>
      </rPr>
      <t xml:space="preserve"> across all orders in a given timeframe or segment. E.g., </t>
    </r>
    <r>
      <rPr>
        <sz val="10"/>
        <color theme="1"/>
        <rFont val="Arial Unicode MS"/>
      </rPr>
      <t>SUM(order_total_sov)</t>
    </r>
    <r>
      <rPr>
        <sz val="11"/>
        <color theme="1"/>
        <rFont val="Aptos Narrow"/>
        <family val="2"/>
        <scheme val="minor"/>
      </rPr>
      <t xml:space="preserve"> from </t>
    </r>
    <r>
      <rPr>
        <sz val="10"/>
        <color theme="1"/>
        <rFont val="Arial Unicode MS"/>
      </rPr>
      <t>orders</t>
    </r>
    <r>
      <rPr>
        <sz val="11"/>
        <color theme="1"/>
        <rFont val="Aptos Narrow"/>
        <family val="2"/>
        <scheme val="minor"/>
      </rPr>
      <t xml:space="preserve"> (filtered by timeframe).</t>
    </r>
  </si>
  <si>
    <t>Total Outcome Customer Value Change</t>
  </si>
  <si>
    <r>
      <rPr>
        <b/>
        <sz val="11"/>
        <color theme="1"/>
        <rFont val="Aptos Narrow"/>
        <family val="2"/>
        <scheme val="minor"/>
      </rPr>
      <t>Option 1:</t>
    </r>
    <r>
      <rPr>
        <sz val="11"/>
        <color theme="1"/>
        <rFont val="Aptos Narrow"/>
        <family val="2"/>
        <scheme val="minor"/>
      </rPr>
      <t xml:space="preserve">
Value Change = Total_SOV - PREV_TOTAL_SOV
Keep this for only new Renewal or changed orders.
This is for the date that the new order is raised.
</t>
    </r>
    <r>
      <rPr>
        <b/>
        <sz val="11"/>
        <color theme="1"/>
        <rFont val="Aptos Narrow"/>
        <family val="2"/>
        <scheme val="minor"/>
      </rPr>
      <t>Option 2:</t>
    </r>
    <r>
      <rPr>
        <sz val="11"/>
        <color theme="1"/>
        <rFont val="Aptos Narrow"/>
        <family val="2"/>
        <scheme val="minor"/>
      </rPr>
      <t xml:space="preserve">
Value Change  = Sum (Total_SOV) Where Raised date in Timeframe
                                 - Sum (Total_SOV) Where Ceased Date in Timeframe
Relies on Ceased dates being correct, Also need to consider how raised but ultimately failed orders are considered. </t>
    </r>
  </si>
  <si>
    <t>“(Option 1) Value Change = Total_SOV - PREV_TOTAL_SOV. (Option 2) Value Change = Sum(Total_SOV) where raised date in timeframe - Sum(Total_SOV) where ceased date in timeframe.”</t>
  </si>
  <si>
    <r>
      <t xml:space="preserve">Tracks how a customer’s total service/order value changes over time (new vs. ceased). One approach is </t>
    </r>
    <r>
      <rPr>
        <sz val="10"/>
        <color theme="1"/>
        <rFont val="Arial Unicode MS"/>
      </rPr>
      <t>current_sov - previous_sov</t>
    </r>
    <r>
      <rPr>
        <sz val="11"/>
        <color theme="1"/>
        <rFont val="Aptos Narrow"/>
        <family val="2"/>
        <scheme val="minor"/>
      </rPr>
      <t>. Alternatively, measure new SOV raised minus SOV ceased in the timeframe. Store or compute from orders data (raised_date, ceased_date).</t>
    </r>
  </si>
  <si>
    <t>Total Outcome Churn</t>
  </si>
  <si>
    <r>
      <rPr>
        <sz val="11"/>
        <color rgb="FF000000"/>
        <rFont val="Aptos Narrow"/>
        <scheme val="minor"/>
      </rPr>
      <t xml:space="preserve">Churn could be at 3 levels Customer, Product Group, Specific Product.
</t>
    </r>
    <r>
      <rPr>
        <b/>
        <sz val="11"/>
        <color rgb="FF000000"/>
        <rFont val="Aptos Narrow"/>
        <scheme val="minor"/>
      </rPr>
      <t xml:space="preserve">Specific Product
Option 1:
</t>
    </r>
    <r>
      <rPr>
        <sz val="11"/>
        <color rgb="FF000000"/>
        <rFont val="Aptos Narrow"/>
        <scheme val="minor"/>
      </rPr>
      <t xml:space="preserve">For a Customer (Billing Account Level) A churn on a date occurs when on the previous day there was at least on active product for that customer. But on the selected day there are no longer any active products for the particular product specified.
Products that cease but there exists another product that is linked as a renewal even if its a different product. Would not count as a product level churn.
</t>
    </r>
    <r>
      <rPr>
        <b/>
        <sz val="11"/>
        <color rgb="FF000000"/>
        <rFont val="Aptos Narrow"/>
        <scheme val="minor"/>
      </rPr>
      <t xml:space="preserve">Product Family
</t>
    </r>
    <r>
      <rPr>
        <sz val="11"/>
        <color rgb="FF000000"/>
        <rFont val="Aptos Narrow"/>
        <scheme val="minor"/>
      </rPr>
      <t xml:space="preserve">As Above but here looking at all product for a customer within a product family, If the count of live products for a product family for a customer goes from 1&gt;0 This is a churn event for this customer (BAN).
Again exclude from this products where there is a linked renewal for a product even if in a different family.
</t>
    </r>
    <r>
      <rPr>
        <b/>
        <sz val="11"/>
        <color rgb="FF000000"/>
        <rFont val="Aptos Narrow"/>
        <scheme val="minor"/>
      </rPr>
      <t xml:space="preserve">Customer
</t>
    </r>
    <r>
      <rPr>
        <sz val="11"/>
        <color rgb="FF000000"/>
        <rFont val="Aptos Narrow"/>
        <scheme val="minor"/>
      </rPr>
      <t>For a customer (BAN) a Churn occurs on a date where the count of live products goes from 1&gt;0. 
Outstanding Questions:
- Which is the field for the ceased date</t>
    </r>
  </si>
  <si>
    <t>“Churn could be at 3 levels: Customer, Product Group, Specific Product. A churn event occurs on a date if the count of live products goes from 1→0 with no renewal link.”</t>
  </si>
  <si>
    <r>
      <t xml:space="preserve">You can measure churn events/amount by comparing active product records day-to-day. E.g., a product is “ceased” on date X if it was active the prior day. Product-level or family-level churn excludes renewals. Technically, you might store </t>
    </r>
    <r>
      <rPr>
        <sz val="10"/>
        <color theme="1"/>
        <rFont val="Arial Unicode MS"/>
      </rPr>
      <t>churn_date</t>
    </r>
    <r>
      <rPr>
        <sz val="11"/>
        <color theme="1"/>
        <rFont val="Aptos Narrow"/>
        <family val="2"/>
        <scheme val="minor"/>
      </rPr>
      <t xml:space="preserve"> or compare </t>
    </r>
    <r>
      <rPr>
        <sz val="10"/>
        <color theme="1"/>
        <rFont val="Arial Unicode MS"/>
      </rPr>
      <t>active_product_count</t>
    </r>
    <r>
      <rPr>
        <sz val="11"/>
        <color theme="1"/>
        <rFont val="Aptos Narrow"/>
        <family val="2"/>
        <scheme val="minor"/>
      </rPr>
      <t xml:space="preserve"> from t to t-1.</t>
    </r>
  </si>
  <si>
    <t>Attributed Outcome Order Value Amount</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</si>
  <si>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 xml:space="preserve">, </t>
    </r>
    <r>
      <rPr>
        <sz val="11"/>
        <color theme="6"/>
        <rFont val="Aptos Narrow"/>
        <family val="2"/>
        <scheme val="minor"/>
      </rPr>
      <t>Specific Company Analysis</t>
    </r>
    <r>
      <rPr>
        <sz val="11"/>
        <color theme="1"/>
        <rFont val="Aptos Narrow"/>
        <family val="2"/>
        <scheme val="minor"/>
      </rPr>
      <t xml:space="preserve">, </t>
    </r>
    <r>
      <rPr>
        <sz val="11"/>
        <color theme="7"/>
        <rFont val="Aptos Narrow"/>
        <family val="2"/>
        <scheme val="minor"/>
      </rPr>
      <t>Audience Analysis</t>
    </r>
    <r>
      <rPr>
        <sz val="11"/>
        <color theme="1"/>
        <rFont val="Aptos Narrow"/>
        <family val="2"/>
        <scheme val="minor"/>
      </rPr>
      <t xml:space="preserve">, </t>
    </r>
    <r>
      <rPr>
        <sz val="11"/>
        <color theme="8"/>
        <rFont val="Aptos Narrow"/>
        <family val="2"/>
        <scheme val="minor"/>
      </rPr>
      <t>Marketing Impact</t>
    </r>
    <r>
      <rPr>
        <sz val="11"/>
        <color theme="1"/>
        <rFont val="Aptos Narrow"/>
        <family val="2"/>
        <scheme val="minor"/>
      </rPr>
      <t xml:space="preserve">, </t>
    </r>
    <r>
      <rPr>
        <sz val="11"/>
        <color theme="9"/>
        <rFont val="Aptos Narrow"/>
        <family val="2"/>
        <scheme val="minor"/>
      </rPr>
      <t>Channel Impact</t>
    </r>
    <r>
      <rPr>
        <sz val="11"/>
        <color theme="1"/>
        <rFont val="Aptos Narrow"/>
        <family val="2"/>
        <scheme val="minor"/>
      </rPr>
      <t xml:space="preserve">, </t>
    </r>
    <r>
      <rPr>
        <sz val="11"/>
        <color rgb="FFC00000"/>
        <rFont val="Aptos Narrow"/>
        <family val="2"/>
        <scheme val="minor"/>
      </rPr>
      <t>Campaign Impact</t>
    </r>
    <r>
      <rPr>
        <sz val="11"/>
        <color theme="1"/>
        <rFont val="Aptos Narrow"/>
        <family val="2"/>
        <scheme val="minor"/>
      </rPr>
      <t xml:space="preserve">, </t>
    </r>
    <r>
      <rPr>
        <sz val="11"/>
        <color theme="5" tint="-0.499984740745262"/>
        <rFont val="Aptos Narrow"/>
        <family val="2"/>
        <scheme val="minor"/>
      </rPr>
      <t>Marketing Technology Impact</t>
    </r>
  </si>
  <si>
    <t>Sum (Total_SOV for raised orders * Attribute %)
Apply the attributed Percentage reduction to each raised order then Sum these.</t>
  </si>
  <si>
    <t>“Sum (Total_SOV for raised orders * Attribute %). Apply the attributed percentage to each raised order, then sum.”</t>
  </si>
  <si>
    <r>
      <t xml:space="preserve">For each order, multiply its </t>
    </r>
    <r>
      <rPr>
        <sz val="10"/>
        <color theme="1"/>
        <rFont val="Arial Unicode MS"/>
      </rPr>
      <t>order_value</t>
    </r>
    <r>
      <rPr>
        <sz val="11"/>
        <color theme="1"/>
        <rFont val="Aptos Narrow"/>
        <family val="2"/>
        <scheme val="minor"/>
      </rPr>
      <t xml:space="preserve"> (Total_SOV) by the marketing attribution factor (e.g., 0.3 if 30% is attributed to marketing). Then sum across all orders in the timeframe or segment. Technically: </t>
    </r>
    <r>
      <rPr>
        <sz val="10"/>
        <color theme="1"/>
        <rFont val="Arial Unicode MS"/>
      </rPr>
      <t>SUM(order_value * marketing_attribution_pct)</t>
    </r>
    <r>
      <rPr>
        <sz val="11"/>
        <color theme="1"/>
        <rFont val="Aptos Narrow"/>
        <family val="2"/>
        <scheme val="minor"/>
      </rPr>
      <t>.</t>
    </r>
  </si>
  <si>
    <t>Attributed Outcome Order Value Percentage</t>
  </si>
  <si>
    <t>Aggregated (Attributed Outcome order values amount) / 
Agreegated (Outcome order value amount)
This is likely to be different to the sum of the attributed percentages. As it might be that larger orders have a larger marketing attribution and so the total amount attributed to marketing is higher once order values are taken into account.
Here the order value could be any of SOV, SOV_GM, ICV, ICV_GM. Suggest the dashboard has some sort of switcher to move between these.</t>
  </si>
  <si>
    <t>(Percentage of total order value that is attributed to marketing.)</t>
  </si>
  <si>
    <r>
      <t xml:space="preserve">Calculated as </t>
    </r>
    <r>
      <rPr>
        <sz val="10"/>
        <color theme="1"/>
        <rFont val="Arial Unicode MS"/>
      </rPr>
      <t>(Attributed Outcome Order Value Amount / Total Outcome Order Value) * 100</t>
    </r>
    <r>
      <rPr>
        <sz val="11"/>
        <color theme="1"/>
        <rFont val="Aptos Narrow"/>
        <family val="2"/>
        <scheme val="minor"/>
      </rPr>
      <t xml:space="preserve">. For a given dimension or grouping, you might do: </t>
    </r>
    <r>
      <rPr>
        <sz val="10"/>
        <color theme="1"/>
        <rFont val="Arial Unicode MS"/>
      </rPr>
      <t>SUM(order_value * attribution_pct) / SUM(order_value) * 100</t>
    </r>
    <r>
      <rPr>
        <sz val="11"/>
        <color theme="1"/>
        <rFont val="Aptos Narrow"/>
        <family val="2"/>
        <scheme val="minor"/>
      </rPr>
      <t>.</t>
    </r>
  </si>
  <si>
    <t>Attributed Outcome Customer Value Change £</t>
  </si>
  <si>
    <t>(Similar to “Customer Value Change,” but restricted to the fraction attributed to marketing.)</t>
  </si>
  <si>
    <r>
      <t xml:space="preserve">For each relevant account or order, take the “value change” and multiply by the attribution factor. E.g., </t>
    </r>
    <r>
      <rPr>
        <sz val="10"/>
        <color theme="1"/>
        <rFont val="Arial Unicode MS"/>
      </rPr>
      <t>SUM( (new_sov - old_sov) * marketing_attribution_pct )</t>
    </r>
    <r>
      <rPr>
        <sz val="11"/>
        <color theme="1"/>
        <rFont val="Aptos Narrow"/>
        <family val="2"/>
        <scheme val="minor"/>
      </rPr>
      <t xml:space="preserve"> for the relevant set of records.</t>
    </r>
  </si>
  <si>
    <t>Attributed Outcome Customer Value Change Percentage</t>
  </si>
  <si>
    <t>(Ratio of marketing-attributed customer value change to total customer value change.)</t>
  </si>
  <si>
    <r>
      <t>(Attributed Outcome Customer Value Change £ / Total Outcome Customer Value Change) * 100</t>
    </r>
    <r>
      <rPr>
        <sz val="11"/>
        <color theme="1"/>
        <rFont val="Aptos Narrow"/>
        <family val="2"/>
        <scheme val="minor"/>
      </rPr>
      <t>.</t>
    </r>
  </si>
  <si>
    <t>Attributed Outcome Churn</t>
  </si>
  <si>
    <t>“Churn could be at 3 levels… and we apply marketing attribution factor (or logic) to see which portion is attributed to marketing.”</t>
  </si>
  <si>
    <t>If marketing is credited with preventing or partially causing churn, you might track the fraction of churn events or churn amounts “tied” to marketing. The exact logic depends on your attribution model—e.g., if marketing prevented churn, or if a missed marketing touch contributed to churn. This is more specialized and may or may not appear on the Channel/Campaign dashboards unless explicitly needed.</t>
  </si>
  <si>
    <t>Attributed Outcome Churn Percentage</t>
  </si>
  <si>
    <t>(Percentage of total churn that was attributed to marketing, or possibly the share that was prevented by marketing.)</t>
  </si>
  <si>
    <r>
      <t xml:space="preserve">Computed similarly to “Attributed Outcome Churn,” but expressed as a percentage: </t>
    </r>
    <r>
      <rPr>
        <sz val="10"/>
        <color theme="1"/>
        <rFont val="Arial Unicode MS"/>
      </rPr>
      <t>(Attributed Churn / Total Churn) * 100</t>
    </r>
    <r>
      <rPr>
        <sz val="11"/>
        <color theme="1"/>
        <rFont val="Aptos Narrow"/>
        <family val="2"/>
        <scheme val="minor"/>
      </rPr>
      <t>, or “churn avoided.” Not explicitly listed in Channel/Campaign/Tech dashboards in the PPT, so typically remains in the “outcomes” or “audience” views.</t>
    </r>
  </si>
  <si>
    <t>Marketing Activity Channel group</t>
  </si>
  <si>
    <t>Web, Social, Outbound Comms</t>
  </si>
  <si>
    <t>“Web, Social, Outbound Comms,” etc.</t>
  </si>
  <si>
    <r>
      <t xml:space="preserve">A </t>
    </r>
    <r>
      <rPr>
        <b/>
        <sz val="11"/>
        <color theme="1"/>
        <rFont val="Aptos Narrow"/>
        <family val="2"/>
        <scheme val="minor"/>
      </rPr>
      <t>high-level grouping</t>
    </r>
    <r>
      <rPr>
        <sz val="11"/>
        <color theme="1"/>
        <rFont val="Aptos Narrow"/>
        <family val="2"/>
        <scheme val="minor"/>
      </rPr>
      <t xml:space="preserve"> of channels used for marketing. Often stored in a dimension table or a field like </t>
    </r>
    <r>
      <rPr>
        <sz val="10"/>
        <color theme="1"/>
        <rFont val="Arial Unicode MS"/>
      </rPr>
      <t>channel_group</t>
    </r>
    <r>
      <rPr>
        <sz val="11"/>
        <color theme="1"/>
        <rFont val="Aptos Narrow"/>
        <family val="2"/>
        <scheme val="minor"/>
      </rPr>
      <t xml:space="preserve"> (e.g., </t>
    </r>
    <r>
      <rPr>
        <sz val="10"/>
        <color theme="1"/>
        <rFont val="Arial Unicode MS"/>
      </rPr>
      <t>'web'</t>
    </r>
    <r>
      <rPr>
        <sz val="11"/>
        <color theme="1"/>
        <rFont val="Aptos Narrow"/>
        <family val="2"/>
        <scheme val="minor"/>
      </rPr>
      <t xml:space="preserve">, </t>
    </r>
    <r>
      <rPr>
        <sz val="10"/>
        <color theme="1"/>
        <rFont val="Arial Unicode MS"/>
      </rPr>
      <t>'social'</t>
    </r>
    <r>
      <rPr>
        <sz val="11"/>
        <color theme="1"/>
        <rFont val="Aptos Narrow"/>
        <family val="2"/>
        <scheme val="minor"/>
      </rPr>
      <t xml:space="preserve">, </t>
    </r>
    <r>
      <rPr>
        <sz val="10"/>
        <color theme="1"/>
        <rFont val="Arial Unicode MS"/>
      </rPr>
      <t>'outbound'</t>
    </r>
    <r>
      <rPr>
        <sz val="11"/>
        <color theme="1"/>
        <rFont val="Aptos Narrow"/>
        <family val="2"/>
        <scheme val="minor"/>
      </rPr>
      <t>). Widely used across multiple dashboards as a dimension or filter.</t>
    </r>
  </si>
  <si>
    <t>Marketing Activity Channel</t>
  </si>
  <si>
    <r>
      <t xml:space="preserve">Product Outcomes, </t>
    </r>
    <r>
      <rPr>
        <sz val="11"/>
        <color theme="8"/>
        <rFont val="Aptos Narrow"/>
        <family val="2"/>
        <scheme val="minor"/>
      </rPr>
      <t>Marketing Impact,</t>
    </r>
    <r>
      <rPr>
        <sz val="11"/>
        <color theme="5"/>
        <rFont val="Aptos Narrow"/>
        <family val="2"/>
        <scheme val="minor"/>
      </rPr>
      <t xml:space="preserve"> </t>
    </r>
    <r>
      <rPr>
        <sz val="11"/>
        <color theme="9"/>
        <rFont val="Aptos Narrow"/>
        <family val="2"/>
        <scheme val="minor"/>
      </rPr>
      <t>Channel Impact</t>
    </r>
    <r>
      <rPr>
        <sz val="11"/>
        <color theme="5"/>
        <rFont val="Aptos Narrow"/>
        <family val="2"/>
        <scheme val="minor"/>
      </rPr>
      <t xml:space="preserve">, </t>
    </r>
    <r>
      <rPr>
        <sz val="11"/>
        <color rgb="FFC00000"/>
        <rFont val="Aptos Narrow"/>
        <family val="2"/>
        <scheme val="minor"/>
      </rPr>
      <t>Campaign Impact</t>
    </r>
    <r>
      <rPr>
        <sz val="11"/>
        <color theme="5"/>
        <rFont val="Aptos Narrow"/>
        <family val="2"/>
        <scheme val="minor"/>
      </rPr>
      <t xml:space="preserve">, </t>
    </r>
    <r>
      <rPr>
        <sz val="11"/>
        <color theme="5" tint="-0.499984740745262"/>
        <rFont val="Aptos Narrow"/>
        <family val="2"/>
        <scheme val="minor"/>
      </rPr>
      <t>Marketing Technology Impact</t>
    </r>
  </si>
  <si>
    <t>(A more granular channel—e.g., Email, Paid Search, LinkedIn Ads, etc.)</t>
  </si>
  <si>
    <r>
      <t xml:space="preserve">A detailed </t>
    </r>
    <r>
      <rPr>
        <b/>
        <sz val="11"/>
        <color theme="1"/>
        <rFont val="Aptos Narrow"/>
        <family val="2"/>
        <scheme val="minor"/>
      </rPr>
      <t>channel</t>
    </r>
    <r>
      <rPr>
        <sz val="11"/>
        <color theme="1"/>
        <rFont val="Aptos Narrow"/>
        <family val="2"/>
        <scheme val="minor"/>
      </rPr>
      <t xml:space="preserve"> field in your campaign/activity logs, e.g., </t>
    </r>
    <r>
      <rPr>
        <sz val="10"/>
        <color theme="1"/>
        <rFont val="Arial Unicode MS"/>
      </rPr>
      <t>marketing_channel = 'email'</t>
    </r>
    <r>
      <rPr>
        <sz val="11"/>
        <color theme="1"/>
        <rFont val="Aptos Narrow"/>
        <family val="2"/>
        <scheme val="minor"/>
      </rPr>
      <t>. In your dashboards, you might roll this up into “channel group.”</t>
    </r>
  </si>
  <si>
    <t>Outcome Product Family</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</si>
  <si>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t>
    </r>
    <r>
      <rPr>
        <sz val="11"/>
        <color theme="9"/>
        <rFont val="Aptos Narrow"/>
        <family val="2"/>
        <scheme val="minor"/>
      </rPr>
      <t>Channel Impact</t>
    </r>
  </si>
  <si>
    <t>(Groups outcome products into families—e.g., Mobile, Broadband, Security, etc.)</t>
  </si>
  <si>
    <r>
      <t xml:space="preserve">A </t>
    </r>
    <r>
      <rPr>
        <b/>
        <sz val="11"/>
        <color theme="1"/>
        <rFont val="Aptos Narrow"/>
        <family val="2"/>
        <scheme val="minor"/>
      </rPr>
      <t>categorical</t>
    </r>
    <r>
      <rPr>
        <sz val="11"/>
        <color theme="1"/>
        <rFont val="Aptos Narrow"/>
        <family val="2"/>
        <scheme val="minor"/>
      </rPr>
      <t xml:space="preserve"> or </t>
    </r>
    <r>
      <rPr>
        <b/>
        <sz val="11"/>
        <color theme="1"/>
        <rFont val="Aptos Narrow"/>
        <family val="2"/>
        <scheme val="minor"/>
      </rPr>
      <t>lookup</t>
    </r>
    <r>
      <rPr>
        <sz val="11"/>
        <color theme="1"/>
        <rFont val="Aptos Narrow"/>
        <family val="2"/>
        <scheme val="minor"/>
      </rPr>
      <t xml:space="preserve"> field that classifies products. Typically in a product dimension table: </t>
    </r>
    <r>
      <rPr>
        <sz val="10"/>
        <color theme="1"/>
        <rFont val="Arial Unicode MS"/>
      </rPr>
      <t>product_family_id</t>
    </r>
    <r>
      <rPr>
        <sz val="11"/>
        <color theme="1"/>
        <rFont val="Aptos Narrow"/>
        <family val="2"/>
        <scheme val="minor"/>
      </rPr>
      <t xml:space="preserve"> → </t>
    </r>
    <r>
      <rPr>
        <sz val="10"/>
        <color theme="1"/>
        <rFont val="Arial Unicode MS"/>
      </rPr>
      <t>'Mobile'</t>
    </r>
    <r>
      <rPr>
        <sz val="11"/>
        <color theme="1"/>
        <rFont val="Aptos Narrow"/>
        <family val="2"/>
        <scheme val="minor"/>
      </rPr>
      <t xml:space="preserve">, </t>
    </r>
    <r>
      <rPr>
        <sz val="10"/>
        <color theme="1"/>
        <rFont val="Arial Unicode MS"/>
      </rPr>
      <t>'Hosting'</t>
    </r>
    <r>
      <rPr>
        <sz val="11"/>
        <color theme="1"/>
        <rFont val="Aptos Narrow"/>
        <family val="2"/>
        <scheme val="minor"/>
      </rPr>
      <t xml:space="preserve">, </t>
    </r>
    <r>
      <rPr>
        <sz val="10"/>
        <color theme="1"/>
        <rFont val="Arial Unicode MS"/>
      </rPr>
      <t>'Security'</t>
    </r>
    <r>
      <rPr>
        <sz val="11"/>
        <color theme="1"/>
        <rFont val="Aptos Narrow"/>
        <family val="2"/>
        <scheme val="minor"/>
      </rPr>
      <t>, etc. Seen in multiple “outcome-focused” dashboards and also in Channel Impact (the PPT specifically references “Product Families” as a dimension).</t>
    </r>
  </si>
  <si>
    <t>Outcome Product</t>
  </si>
  <si>
    <r>
      <t xml:space="preserve">Product Outcomes, </t>
    </r>
    <r>
      <rPr>
        <sz val="11"/>
        <color theme="6"/>
        <rFont val="Aptos Narrow"/>
        <family val="2"/>
        <scheme val="minor"/>
      </rPr>
      <t>Specific Company Analysis</t>
    </r>
    <r>
      <rPr>
        <sz val="11"/>
        <color theme="5"/>
        <rFont val="Aptos Narrow"/>
        <family val="2"/>
        <scheme val="minor"/>
      </rPr>
      <t xml:space="preserve">, </t>
    </r>
    <r>
      <rPr>
        <sz val="11"/>
        <color theme="9"/>
        <rFont val="Aptos Narrow"/>
        <family val="2"/>
        <scheme val="minor"/>
      </rPr>
      <t>Channel Impact</t>
    </r>
    <r>
      <rPr>
        <sz val="11"/>
        <color theme="5"/>
        <rFont val="Aptos Narrow"/>
        <family val="2"/>
        <scheme val="minor"/>
      </rPr>
      <t xml:space="preserve">, </t>
    </r>
    <r>
      <rPr>
        <sz val="11"/>
        <color rgb="FFC00000"/>
        <rFont val="Aptos Narrow"/>
        <family val="2"/>
        <scheme val="minor"/>
      </rPr>
      <t>Campaign Impact</t>
    </r>
  </si>
  <si>
    <t>(The specific product sold, renewed, or churned.)</t>
  </si>
  <si>
    <r>
      <t xml:space="preserve">Typically references the </t>
    </r>
    <r>
      <rPr>
        <b/>
        <sz val="11"/>
        <color theme="1"/>
        <rFont val="Aptos Narrow"/>
        <family val="2"/>
        <scheme val="minor"/>
      </rPr>
      <t>exact product</t>
    </r>
    <r>
      <rPr>
        <sz val="11"/>
        <color theme="1"/>
        <rFont val="Aptos Narrow"/>
        <family val="2"/>
        <scheme val="minor"/>
      </rPr>
      <t xml:space="preserve"> in the outcome. E.g., a field </t>
    </r>
    <r>
      <rPr>
        <sz val="10"/>
        <color theme="1"/>
        <rFont val="Arial Unicode MS"/>
      </rPr>
      <t>outcome_product_id</t>
    </r>
    <r>
      <rPr>
        <sz val="11"/>
        <color theme="1"/>
        <rFont val="Aptos Narrow"/>
        <family val="2"/>
        <scheme val="minor"/>
      </rPr>
      <t xml:space="preserve"> or </t>
    </r>
    <r>
      <rPr>
        <sz val="10"/>
        <color theme="1"/>
        <rFont val="Arial Unicode MS"/>
      </rPr>
      <t>order_product_code</t>
    </r>
    <r>
      <rPr>
        <sz val="11"/>
        <color theme="1"/>
        <rFont val="Aptos Narrow"/>
        <family val="2"/>
        <scheme val="minor"/>
      </rPr>
      <t>. Displayed in product-level dashboards, or in the “outcome products” dimension for Channel/Campaign Impact.</t>
    </r>
  </si>
  <si>
    <t>Campaign Product Family</t>
  </si>
  <si>
    <r>
      <t xml:space="preserve">Marketing Impact, </t>
    </r>
    <r>
      <rPr>
        <sz val="11"/>
        <color rgb="FFC00000"/>
        <rFont val="Aptos Narrow"/>
        <family val="2"/>
        <scheme val="minor"/>
      </rPr>
      <t>Channel Impact</t>
    </r>
  </si>
  <si>
    <t>(Indicates which product family the campaign is targeting or associated with—e.g., a “Mobile” campaign.)</t>
  </si>
  <si>
    <r>
      <t xml:space="preserve">A </t>
    </r>
    <r>
      <rPr>
        <b/>
        <sz val="11"/>
        <color theme="1"/>
        <rFont val="Aptos Narrow"/>
        <family val="2"/>
        <scheme val="minor"/>
      </rPr>
      <t>lookup</t>
    </r>
    <r>
      <rPr>
        <sz val="11"/>
        <color theme="1"/>
        <rFont val="Aptos Narrow"/>
        <family val="2"/>
        <scheme val="minor"/>
      </rPr>
      <t xml:space="preserve"> from the campaign record to the targeted product family. E.g., </t>
    </r>
    <r>
      <rPr>
        <sz val="10"/>
        <color theme="1"/>
        <rFont val="Arial Unicode MS"/>
      </rPr>
      <t>campaign_target_product_family_id</t>
    </r>
    <r>
      <rPr>
        <sz val="11"/>
        <color theme="1"/>
        <rFont val="Aptos Narrow"/>
        <family val="2"/>
        <scheme val="minor"/>
      </rPr>
      <t xml:space="preserve"> → </t>
    </r>
    <r>
      <rPr>
        <sz val="10"/>
        <color theme="1"/>
        <rFont val="Arial Unicode MS"/>
      </rPr>
      <t>'Mobile'</t>
    </r>
    <r>
      <rPr>
        <sz val="11"/>
        <color theme="1"/>
        <rFont val="Aptos Narrow"/>
        <family val="2"/>
        <scheme val="minor"/>
      </rPr>
      <t>. Explicitly in Marketing Impact and Channel Impact; can also be relevant in Campaign Impact or Tech Impact if you want to see the product families each campaign aims at.</t>
    </r>
  </si>
  <si>
    <t>Transactions Channel</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</si>
  <si>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</si>
  <si>
    <t>How did they transact the order</t>
  </si>
  <si>
    <t>“How did they transact the order?” (online, phone, in-person, etc.)</t>
  </si>
  <si>
    <r>
      <t xml:space="preserve">A </t>
    </r>
    <r>
      <rPr>
        <b/>
        <sz val="11"/>
        <color theme="1"/>
        <rFont val="Aptos Narrow"/>
        <family val="2"/>
        <scheme val="minor"/>
      </rPr>
      <t>field</t>
    </r>
    <r>
      <rPr>
        <sz val="11"/>
        <color theme="1"/>
        <rFont val="Aptos Narrow"/>
        <family val="2"/>
        <scheme val="minor"/>
      </rPr>
      <t xml:space="preserve"> in the order data indicating the </t>
    </r>
    <r>
      <rPr>
        <b/>
        <sz val="11"/>
        <color theme="1"/>
        <rFont val="Aptos Narrow"/>
        <family val="2"/>
        <scheme val="minor"/>
      </rPr>
      <t>fulfillment/purchase channel</t>
    </r>
    <r>
      <rPr>
        <sz val="11"/>
        <color theme="1"/>
        <rFont val="Aptos Narrow"/>
        <family val="2"/>
        <scheme val="minor"/>
      </rPr>
      <t xml:space="preserve">. Often called something like </t>
    </r>
    <r>
      <rPr>
        <sz val="10"/>
        <color theme="1"/>
        <rFont val="Arial Unicode MS"/>
      </rPr>
      <t>transaction_channel</t>
    </r>
    <r>
      <rPr>
        <sz val="11"/>
        <color theme="1"/>
        <rFont val="Aptos Narrow"/>
        <family val="2"/>
        <scheme val="minor"/>
      </rPr>
      <t>. The PPT references “transactions channel” especially in outcome-focused dashboards.</t>
    </r>
  </si>
  <si>
    <t>Acquisition, Resign, Cross-Sell</t>
  </si>
  <si>
    <t>“Acquisition, Resign, Cross-Sell.”</t>
  </si>
  <si>
    <r>
      <t xml:space="preserve">A </t>
    </r>
    <r>
      <rPr>
        <b/>
        <sz val="11"/>
        <color theme="1"/>
        <rFont val="Aptos Narrow"/>
        <family val="2"/>
        <scheme val="minor"/>
      </rPr>
      <t>categorical</t>
    </r>
    <r>
      <rPr>
        <sz val="11"/>
        <color theme="1"/>
        <rFont val="Aptos Narrow"/>
        <family val="2"/>
        <scheme val="minor"/>
      </rPr>
      <t xml:space="preserve"> field describing the type of outcome event. E.g., </t>
    </r>
    <r>
      <rPr>
        <sz val="10"/>
        <color theme="1"/>
        <rFont val="Arial Unicode MS"/>
      </rPr>
      <t>'acquisition'</t>
    </r>
    <r>
      <rPr>
        <sz val="11"/>
        <color theme="1"/>
        <rFont val="Aptos Narrow"/>
        <family val="2"/>
        <scheme val="minor"/>
      </rPr>
      <t xml:space="preserve">, </t>
    </r>
    <r>
      <rPr>
        <sz val="10"/>
        <color theme="1"/>
        <rFont val="Arial Unicode MS"/>
      </rPr>
      <t>'resign'</t>
    </r>
    <r>
      <rPr>
        <sz val="11"/>
        <color theme="1"/>
        <rFont val="Aptos Narrow"/>
        <family val="2"/>
        <scheme val="minor"/>
      </rPr>
      <t xml:space="preserve">, </t>
    </r>
    <r>
      <rPr>
        <sz val="10"/>
        <color theme="1"/>
        <rFont val="Arial Unicode MS"/>
      </rPr>
      <t>'cross_sell'</t>
    </r>
    <r>
      <rPr>
        <sz val="11"/>
        <color theme="1"/>
        <rFont val="Aptos Narrow"/>
        <family val="2"/>
        <scheme val="minor"/>
      </rPr>
      <t xml:space="preserve">. Typically stored in </t>
    </r>
    <r>
      <rPr>
        <sz val="10"/>
        <color theme="1"/>
        <rFont val="Arial Unicode MS"/>
      </rPr>
      <t>outcome_type</t>
    </r>
    <r>
      <rPr>
        <sz val="11"/>
        <color theme="1"/>
        <rFont val="Aptos Narrow"/>
        <family val="2"/>
        <scheme val="minor"/>
      </rPr>
      <t>.</t>
    </r>
  </si>
  <si>
    <t>Outcome Intentionality - Product</t>
  </si>
  <si>
    <t>*Did outcome product match marketing target product</t>
  </si>
  <si>
    <t>“Did the outcome product match the marketing target product?”</t>
  </si>
  <si>
    <r>
      <t xml:space="preserve">A boolean or categorical field indicating if the </t>
    </r>
    <r>
      <rPr>
        <b/>
        <sz val="11"/>
        <color theme="1"/>
        <rFont val="Aptos Narrow"/>
        <family val="2"/>
        <scheme val="minor"/>
      </rPr>
      <t>actual</t>
    </r>
    <r>
      <rPr>
        <sz val="11"/>
        <color theme="1"/>
        <rFont val="Aptos Narrow"/>
        <family val="2"/>
        <scheme val="minor"/>
      </rPr>
      <t xml:space="preserve"> product purchased (outcome) aligns with the </t>
    </r>
    <r>
      <rPr>
        <b/>
        <sz val="11"/>
        <color theme="1"/>
        <rFont val="Aptos Narrow"/>
        <family val="2"/>
        <scheme val="minor"/>
      </rPr>
      <t>intended</t>
    </r>
    <r>
      <rPr>
        <sz val="11"/>
        <color theme="1"/>
        <rFont val="Aptos Narrow"/>
        <family val="2"/>
        <scheme val="minor"/>
      </rPr>
      <t xml:space="preserve"> product from the campaign. E.g.: </t>
    </r>
    <r>
      <rPr>
        <sz val="10"/>
        <color theme="1"/>
        <rFont val="Arial Unicode MS"/>
      </rPr>
      <t>outcome_product_id == campaign_target_product_id</t>
    </r>
    <r>
      <rPr>
        <sz val="11"/>
        <color theme="1"/>
        <rFont val="Aptos Narrow"/>
        <family val="2"/>
        <scheme val="minor"/>
      </rPr>
      <t>.</t>
    </r>
  </si>
  <si>
    <t>Outcome Intentionality - Outcome Type</t>
  </si>
  <si>
    <t>(Checks if the type of outcome matched the intended outcome type—e.g., an Acquisition campaign yields an Acquisition outcome.)</t>
  </si>
  <si>
    <r>
      <t xml:space="preserve">Another boolean or categorical field indicating if the </t>
    </r>
    <r>
      <rPr>
        <b/>
        <sz val="11"/>
        <color theme="1"/>
        <rFont val="Aptos Narrow"/>
        <family val="2"/>
        <scheme val="minor"/>
      </rPr>
      <t>outcome type</t>
    </r>
    <r>
      <rPr>
        <sz val="11"/>
        <color theme="1"/>
        <rFont val="Aptos Narrow"/>
        <family val="2"/>
        <scheme val="minor"/>
      </rPr>
      <t xml:space="preserve"> (e.g., cross-sell) matches the </t>
    </r>
    <r>
      <rPr>
        <b/>
        <sz val="11"/>
        <color theme="1"/>
        <rFont val="Aptos Narrow"/>
        <family val="2"/>
        <scheme val="minor"/>
      </rPr>
      <t>campaign’s intended</t>
    </r>
    <r>
      <rPr>
        <sz val="11"/>
        <color theme="1"/>
        <rFont val="Aptos Narrow"/>
        <family val="2"/>
        <scheme val="minor"/>
      </rPr>
      <t xml:space="preserve"> type. E.g.: </t>
    </r>
    <r>
      <rPr>
        <sz val="10"/>
        <color theme="1"/>
        <rFont val="Arial Unicode MS"/>
      </rPr>
      <t>IF campaign_objective = 'Cross-sell' AND outcome_type = 'cross_sell' THEN 'Intentional' ELSE 'Not Intentional'</t>
    </r>
    <r>
      <rPr>
        <sz val="11"/>
        <color theme="1"/>
        <rFont val="Aptos Narrow"/>
        <family val="2"/>
        <scheme val="minor"/>
      </rPr>
      <t>.</t>
    </r>
  </si>
  <si>
    <t>Number of Campaigns</t>
  </si>
  <si>
    <r>
      <t xml:space="preserve">Product Outcomes, </t>
    </r>
    <r>
      <rPr>
        <sz val="11"/>
        <color theme="8"/>
        <rFont val="Aptos Narrow"/>
        <family val="2"/>
        <scheme val="minor"/>
      </rPr>
      <t>Marketing Impact</t>
    </r>
    <r>
      <rPr>
        <sz val="11"/>
        <color theme="9"/>
        <rFont val="Aptos Narrow"/>
        <family val="2"/>
        <scheme val="minor"/>
      </rPr>
      <t>, Channel Impact,</t>
    </r>
    <r>
      <rPr>
        <sz val="11"/>
        <color theme="5"/>
        <rFont val="Aptos Narrow"/>
        <family val="2"/>
        <scheme val="minor"/>
      </rPr>
      <t xml:space="preserve"> </t>
    </r>
    <r>
      <rPr>
        <sz val="11"/>
        <color theme="5" tint="-0.499984740745262"/>
        <rFont val="Aptos Narrow"/>
        <family val="2"/>
        <scheme val="minor"/>
      </rPr>
      <t>Marketing Technology Impact</t>
    </r>
  </si>
  <si>
    <t>(A count of how many distinct campaigns were run or influenced the selected outcomes/timeframe.)</t>
  </si>
  <si>
    <r>
      <t xml:space="preserve">Computed by counting distinct </t>
    </r>
    <r>
      <rPr>
        <sz val="10"/>
        <color theme="1"/>
        <rFont val="Arial Unicode MS"/>
      </rPr>
      <t>campaign_id</t>
    </r>
    <r>
      <rPr>
        <sz val="11"/>
        <color theme="1"/>
        <rFont val="Aptos Narrow"/>
        <family val="2"/>
        <scheme val="minor"/>
      </rPr>
      <t xml:space="preserve"> across all relevant records. E.g.: </t>
    </r>
    <r>
      <rPr>
        <sz val="10"/>
        <color theme="1"/>
        <rFont val="Arial Unicode MS"/>
      </rPr>
      <t>COUNT(DISTINCT campaign_id)</t>
    </r>
    <r>
      <rPr>
        <sz val="11"/>
        <color theme="1"/>
        <rFont val="Aptos Narrow"/>
        <family val="2"/>
        <scheme val="minor"/>
      </rPr>
      <t>. PPT explicitly mentions “# of campaigns run” in Product Outcomes, Marketing Impact, Channel Impact, and Marketing Technology dashboards.</t>
    </r>
  </si>
  <si>
    <t>No. Campaigns</t>
  </si>
  <si>
    <r>
      <t xml:space="preserve">Product Outcomes, </t>
    </r>
    <r>
      <rPr>
        <sz val="11"/>
        <color theme="6"/>
        <rFont val="Aptos Narrow"/>
        <family val="2"/>
        <scheme val="minor"/>
      </rPr>
      <t>Specific Company Analysis</t>
    </r>
    <r>
      <rPr>
        <sz val="11"/>
        <color theme="5"/>
        <rFont val="Aptos Narrow"/>
        <family val="2"/>
        <scheme val="minor"/>
      </rPr>
      <t xml:space="preserve">, </t>
    </r>
    <r>
      <rPr>
        <sz val="11"/>
        <color theme="7"/>
        <rFont val="Aptos Narrow"/>
        <family val="2"/>
        <scheme val="minor"/>
      </rPr>
      <t>Audience Analysis,</t>
    </r>
    <r>
      <rPr>
        <sz val="11"/>
        <color theme="8"/>
        <rFont val="Aptos Narrow"/>
        <family val="2"/>
        <scheme val="minor"/>
      </rPr>
      <t>Marketing Impact</t>
    </r>
    <r>
      <rPr>
        <sz val="11"/>
        <color theme="7"/>
        <rFont val="Aptos Narrow"/>
        <family val="2"/>
        <scheme val="minor"/>
      </rPr>
      <t>,</t>
    </r>
    <r>
      <rPr>
        <sz val="11"/>
        <color theme="9"/>
        <rFont val="Aptos Narrow"/>
        <family val="2"/>
        <scheme val="minor"/>
      </rPr>
      <t>Channel Impact</t>
    </r>
    <r>
      <rPr>
        <sz val="11"/>
        <color rgb="FFC00000"/>
        <rFont val="Aptos Narrow"/>
        <family val="2"/>
        <scheme val="minor"/>
      </rPr>
      <t>,Campaign Impact,</t>
    </r>
    <r>
      <rPr>
        <sz val="11"/>
        <color theme="5"/>
        <rFont val="Aptos Narrow"/>
        <family val="2"/>
        <scheme val="minor"/>
      </rPr>
      <t xml:space="preserve"> </t>
    </r>
    <r>
      <rPr>
        <sz val="11"/>
        <color theme="5" tint="-0.499984740745262"/>
        <rFont val="Aptos Narrow"/>
        <family val="2"/>
        <scheme val="minor"/>
      </rPr>
      <t>Marketing Technology Impact</t>
    </r>
  </si>
  <si>
    <t>(The list of or reference to campaigns that ran or influenced a period, product, or account.)</t>
  </si>
  <si>
    <r>
      <t xml:space="preserve">References a </t>
    </r>
    <r>
      <rPr>
        <b/>
        <sz val="11"/>
        <color theme="1"/>
        <rFont val="Aptos Narrow"/>
        <family val="2"/>
        <scheme val="minor"/>
      </rPr>
      <t>campaign dimension</t>
    </r>
    <r>
      <rPr>
        <sz val="11"/>
        <color theme="1"/>
        <rFont val="Aptos Narrow"/>
        <family val="2"/>
        <scheme val="minor"/>
      </rPr>
      <t xml:space="preserve"> or table. Used widely across the PPT wherever we want to display or filter by the campaigns that influenced an outcome. E.g., might store them as </t>
    </r>
    <r>
      <rPr>
        <sz val="10"/>
        <color theme="1"/>
        <rFont val="Arial Unicode MS"/>
      </rPr>
      <t>campaign_id</t>
    </r>
    <r>
      <rPr>
        <sz val="11"/>
        <color theme="1"/>
        <rFont val="Aptos Narrow"/>
        <family val="2"/>
        <scheme val="minor"/>
      </rPr>
      <t xml:space="preserve"> in your activity logs.</t>
    </r>
  </si>
  <si>
    <t>No. Marketing Assets</t>
  </si>
  <si>
    <r>
      <t xml:space="preserve">Product Outcomes, </t>
    </r>
    <r>
      <rPr>
        <sz val="11"/>
        <color theme="6"/>
        <rFont val="Aptos Narrow"/>
        <family val="2"/>
        <scheme val="minor"/>
      </rPr>
      <t>Specific Company Analysis</t>
    </r>
    <r>
      <rPr>
        <sz val="11"/>
        <color theme="5"/>
        <rFont val="Aptos Narrow"/>
        <family val="2"/>
        <scheme val="minor"/>
      </rPr>
      <t xml:space="preserve">, </t>
    </r>
    <r>
      <rPr>
        <sz val="11"/>
        <color theme="7"/>
        <rFont val="Aptos Narrow"/>
        <family val="2"/>
        <scheme val="minor"/>
      </rPr>
      <t>Audience Analysis,</t>
    </r>
    <r>
      <rPr>
        <sz val="11"/>
        <color theme="9"/>
        <rFont val="Aptos Narrow"/>
        <family val="2"/>
        <scheme val="minor"/>
      </rPr>
      <t>Channel Impact</t>
    </r>
    <r>
      <rPr>
        <sz val="11"/>
        <color theme="5"/>
        <rFont val="Aptos Narrow"/>
        <family val="2"/>
        <scheme val="minor"/>
      </rPr>
      <t xml:space="preserve">, </t>
    </r>
    <r>
      <rPr>
        <sz val="11"/>
        <color rgb="FFC00000"/>
        <rFont val="Aptos Narrow"/>
        <family val="2"/>
        <scheme val="minor"/>
      </rPr>
      <t>Campaign Impact</t>
    </r>
    <r>
      <rPr>
        <sz val="11"/>
        <color theme="5"/>
        <rFont val="Aptos Narrow"/>
        <family val="2"/>
        <scheme val="minor"/>
      </rPr>
      <t xml:space="preserve">, </t>
    </r>
    <r>
      <rPr>
        <sz val="11"/>
        <color theme="5" tint="-0.499984740745262"/>
        <rFont val="Aptos Narrow"/>
        <family val="2"/>
        <scheme val="minor"/>
      </rPr>
      <t>Marketing Technology Impact</t>
    </r>
  </si>
  <si>
    <t>This is a count of the different marketing assets that have been used as part of this campaign. 
Distinct count on Asset ID.</t>
  </si>
  <si>
    <t>(List or dimension of marketing assets used: emails, ads, landing pages, etc.)</t>
  </si>
  <si>
    <r>
      <t xml:space="preserve">A sub-dimension or child of a campaign. Typically stored as </t>
    </r>
    <r>
      <rPr>
        <sz val="10"/>
        <color theme="1"/>
        <rFont val="Arial Unicode MS"/>
      </rPr>
      <t>asset_id</t>
    </r>
    <r>
      <rPr>
        <sz val="11"/>
        <color theme="1"/>
        <rFont val="Aptos Narrow"/>
        <family val="2"/>
        <scheme val="minor"/>
      </rPr>
      <t xml:space="preserve"> or references to creative items in the marketing platform. Multiple dashboards (Channel, Campaign, Tech Impact) mention “assets used” as a dimension or KPI.</t>
    </r>
  </si>
  <si>
    <t>Audience Size - Companies</t>
  </si>
  <si>
    <r>
      <t xml:space="preserve">Audience Analysis, </t>
    </r>
    <r>
      <rPr>
        <sz val="11"/>
        <color theme="9"/>
        <rFont val="Aptos Narrow"/>
        <family val="2"/>
        <scheme val="minor"/>
      </rPr>
      <t>Channel Impact</t>
    </r>
  </si>
  <si>
    <t>Distinct count of the company IDs
We might need a switcher here to move between different company ID references. Or it might be that the audience dictates which is the correct ID to use in this instance.</t>
  </si>
  <si>
    <t>(Number of companies in the audience.)</t>
  </si>
  <si>
    <r>
      <t xml:space="preserve">Often </t>
    </r>
    <r>
      <rPr>
        <sz val="10"/>
        <color theme="1"/>
        <rFont val="Arial Unicode MS"/>
      </rPr>
      <t>COUNT(DISTINCT company_id)</t>
    </r>
    <r>
      <rPr>
        <sz val="11"/>
        <color theme="1"/>
        <rFont val="Aptos Narrow"/>
        <family val="2"/>
        <scheme val="minor"/>
      </rPr>
      <t xml:space="preserve"> for the relevant “audience” definition.</t>
    </r>
  </si>
  <si>
    <t>Audience Size - Individuals</t>
  </si>
  <si>
    <r>
      <rPr>
        <sz val="11"/>
        <color theme="6"/>
        <rFont val="Aptos Narrow"/>
        <family val="2"/>
        <scheme val="minor"/>
      </rPr>
      <t>Specific Company Analysis</t>
    </r>
    <r>
      <rPr>
        <sz val="11"/>
        <color theme="7"/>
        <rFont val="Aptos Narrow"/>
        <family val="2"/>
        <scheme val="minor"/>
      </rPr>
      <t xml:space="preserve">, Audience Analysis, </t>
    </r>
    <r>
      <rPr>
        <sz val="11"/>
        <color theme="9"/>
        <rFont val="Aptos Narrow"/>
        <family val="2"/>
        <scheme val="minor"/>
      </rPr>
      <t>Channel Impact</t>
    </r>
  </si>
  <si>
    <t>Distinct count of person ID</t>
  </si>
  <si>
    <t>(Number of individual contacts in the audience.)</t>
  </si>
  <si>
    <r>
      <t xml:space="preserve">Often </t>
    </r>
    <r>
      <rPr>
        <sz val="10"/>
        <color theme="1"/>
        <rFont val="Arial Unicode MS"/>
      </rPr>
      <t>COUNT(DISTINCT person_id)</t>
    </r>
    <r>
      <rPr>
        <sz val="11"/>
        <color theme="1"/>
        <rFont val="Aptos Narrow"/>
        <family val="2"/>
        <scheme val="minor"/>
      </rPr>
      <t xml:space="preserve"> or </t>
    </r>
    <r>
      <rPr>
        <sz val="10"/>
        <color theme="1"/>
        <rFont val="Arial Unicode MS"/>
      </rPr>
      <t>lead_id</t>
    </r>
    <r>
      <rPr>
        <sz val="11"/>
        <color theme="1"/>
        <rFont val="Aptos Narrow"/>
        <family val="2"/>
        <scheme val="minor"/>
      </rPr>
      <t>.</t>
    </r>
  </si>
  <si>
    <t>Reached - Individuals</t>
  </si>
  <si>
    <r>
      <t xml:space="preserve">Marketing Impact, </t>
    </r>
    <r>
      <rPr>
        <sz val="11"/>
        <color theme="9"/>
        <rFont val="Aptos Narrow"/>
        <family val="2"/>
        <scheme val="minor"/>
      </rPr>
      <t>Channel Impact</t>
    </r>
    <r>
      <rPr>
        <sz val="11"/>
        <color theme="8"/>
        <rFont val="Aptos Narrow"/>
        <family val="2"/>
        <scheme val="minor"/>
      </rPr>
      <t xml:space="preserve">, </t>
    </r>
    <r>
      <rPr>
        <sz val="11"/>
        <color theme="9"/>
        <rFont val="Aptos Narrow"/>
        <family val="2"/>
        <scheme val="minor"/>
      </rPr>
      <t>Campaign Impact,</t>
    </r>
    <r>
      <rPr>
        <sz val="11"/>
        <color theme="8"/>
        <rFont val="Aptos Narrow"/>
        <family val="2"/>
        <scheme val="minor"/>
      </rPr>
      <t xml:space="preserve"> </t>
    </r>
    <r>
      <rPr>
        <sz val="11"/>
        <color theme="5" tint="-0.499984740745262"/>
        <rFont val="Aptos Narrow"/>
        <family val="2"/>
        <scheme val="minor"/>
      </rPr>
      <t>Marketing Technology Impact</t>
    </r>
  </si>
  <si>
    <t xml:space="preserve">Distinct count of Persons ID's Where the person was Reached. 
Reached:
For push marketing activities to a known audience. This is a marketing activity that has a status that is delivered or equivilent. For those we can count the distinct Person ID's
For a pull activity this is the sum of the reached audience for that activity, This would be provided by the source system. i.e. Ad reach.
</t>
  </si>
  <si>
    <t>(Number of individual contacts who actually received or engaged with marketing content.)</t>
  </si>
  <si>
    <r>
      <t xml:space="preserve">Typically </t>
    </r>
    <r>
      <rPr>
        <sz val="10"/>
        <color theme="1"/>
        <rFont val="Arial Unicode MS"/>
      </rPr>
      <t>COUNT(DISTINCT person_id)</t>
    </r>
    <r>
      <rPr>
        <sz val="11"/>
        <color theme="1"/>
        <rFont val="Aptos Narrow"/>
        <family val="2"/>
        <scheme val="minor"/>
      </rPr>
      <t xml:space="preserve"> who had a recorded marketing touch (e.g., email sent, ad impression, event registration). The PPT explicitly calls out “audience reached (companies/individuals)” in these four dashboards.</t>
    </r>
  </si>
  <si>
    <t>Reached - Companies</t>
  </si>
  <si>
    <t>(Number of companies that actually received/engaged with marketing.)</t>
  </si>
  <si>
    <r>
      <t xml:space="preserve">Same as above, but at the company level: </t>
    </r>
    <r>
      <rPr>
        <sz val="10"/>
        <color theme="1"/>
        <rFont val="Arial Unicode MS"/>
      </rPr>
      <t>COUNT(DISTINCT company_id)</t>
    </r>
    <r>
      <rPr>
        <sz val="11"/>
        <color theme="1"/>
        <rFont val="Aptos Narrow"/>
        <family val="2"/>
        <scheme val="minor"/>
      </rPr>
      <t xml:space="preserve"> that had at least one marketing touch.</t>
    </r>
  </si>
  <si>
    <t>% Audience Reached - Companies</t>
  </si>
  <si>
    <r>
      <rPr>
        <sz val="11"/>
        <color theme="6"/>
        <rFont val="Aptos Narrow"/>
        <family val="2"/>
        <scheme val="minor"/>
      </rPr>
      <t>Specific Company Analysis</t>
    </r>
    <r>
      <rPr>
        <sz val="11"/>
        <color theme="7"/>
        <rFont val="Aptos Narrow"/>
        <family val="2"/>
        <scheme val="minor"/>
      </rPr>
      <t>, Audience Analysis</t>
    </r>
  </si>
  <si>
    <t>(Percentage of the total company audience that was reached.)</t>
  </si>
  <si>
    <r>
      <t>(Audience Reached - Companies / Total Audience Companies) * 100</t>
    </r>
    <r>
      <rPr>
        <sz val="11"/>
        <color theme="1"/>
        <rFont val="Aptos Narrow"/>
        <family val="2"/>
        <scheme val="minor"/>
      </rPr>
      <t>.</t>
    </r>
  </si>
  <si>
    <t>% Audience Reached - Individuals</t>
  </si>
  <si>
    <t>(Percentage of the total individual audience that was reached.)</t>
  </si>
  <si>
    <r>
      <t>(Audience Reached - Individuals / Total Audience Individuals) * 100</t>
    </r>
    <r>
      <rPr>
        <sz val="11"/>
        <color theme="1"/>
        <rFont val="Aptos Narrow"/>
        <family val="2"/>
        <scheme val="minor"/>
      </rPr>
      <t>.</t>
    </r>
  </si>
  <si>
    <t>Engaged Companies</t>
  </si>
  <si>
    <t>Marketing Impact</t>
  </si>
  <si>
    <t>(Number of companies that actively engaged—clicked, responded, etc.)</t>
  </si>
  <si>
    <r>
      <t xml:space="preserve">Typically </t>
    </r>
    <r>
      <rPr>
        <sz val="10"/>
        <color theme="1"/>
        <rFont val="Arial Unicode MS"/>
      </rPr>
      <t>COUNT(DISTINCT company_id)</t>
    </r>
    <r>
      <rPr>
        <sz val="11"/>
        <color theme="1"/>
        <rFont val="Aptos Narrow"/>
        <family val="2"/>
        <scheme val="minor"/>
      </rPr>
      <t xml:space="preserve"> with a recorded engagement activity. Derived from logs of email clicks, form fills, event registrations, etc. The PPT mentions “engaged companies” in these four dashboards’ KPIs.</t>
    </r>
  </si>
  <si>
    <t>Engaged Individuals</t>
  </si>
  <si>
    <t>(Number of individual contacts that engaged.)</t>
  </si>
  <si>
    <r>
      <t xml:space="preserve">Same as above, but at the </t>
    </r>
    <r>
      <rPr>
        <b/>
        <sz val="11"/>
        <color theme="1"/>
        <rFont val="Aptos Narrow"/>
        <family val="2"/>
        <scheme val="minor"/>
      </rPr>
      <t>person</t>
    </r>
    <r>
      <rPr>
        <sz val="11"/>
        <color theme="1"/>
        <rFont val="Aptos Narrow"/>
        <family val="2"/>
        <scheme val="minor"/>
      </rPr>
      <t xml:space="preserve"> level: </t>
    </r>
    <r>
      <rPr>
        <sz val="10"/>
        <color theme="1"/>
        <rFont val="Arial Unicode MS"/>
      </rPr>
      <t>COUNT(DISTINCT person_id)</t>
    </r>
    <r>
      <rPr>
        <sz val="11"/>
        <color theme="1"/>
        <rFont val="Aptos Narrow"/>
        <family val="2"/>
        <scheme val="minor"/>
      </rPr>
      <t xml:space="preserve"> with an engagement activity.</t>
    </r>
  </si>
  <si>
    <t>Campaign Spend (Attributed) - Actual</t>
  </si>
  <si>
    <r>
      <rPr>
        <sz val="11"/>
        <color theme="6"/>
        <rFont val="Aptos Narrow"/>
        <family val="2"/>
        <scheme val="minor"/>
      </rPr>
      <t>Specific Company Analysis</t>
    </r>
    <r>
      <rPr>
        <sz val="11"/>
        <color theme="7"/>
        <rFont val="Aptos Narrow"/>
        <family val="2"/>
        <scheme val="minor"/>
      </rPr>
      <t xml:space="preserve">, Audience Analysis, </t>
    </r>
    <r>
      <rPr>
        <sz val="11"/>
        <color theme="8"/>
        <rFont val="Aptos Narrow"/>
        <family val="2"/>
        <scheme val="minor"/>
      </rPr>
      <t>Marketing Impact</t>
    </r>
    <r>
      <rPr>
        <sz val="11"/>
        <color theme="7"/>
        <rFont val="Aptos Narrow"/>
        <family val="2"/>
        <scheme val="minor"/>
      </rPr>
      <t>,</t>
    </r>
    <r>
      <rPr>
        <sz val="11"/>
        <color theme="9"/>
        <rFont val="Aptos Narrow"/>
        <family val="2"/>
        <scheme val="minor"/>
      </rPr>
      <t>Channel Impact</t>
    </r>
    <r>
      <rPr>
        <sz val="11"/>
        <color theme="7"/>
        <rFont val="Aptos Narrow"/>
        <family val="2"/>
        <scheme val="minor"/>
      </rPr>
      <t xml:space="preserve">, </t>
    </r>
    <r>
      <rPr>
        <sz val="11"/>
        <color rgb="FFC00000"/>
        <rFont val="Aptos Narrow"/>
        <family val="2"/>
        <scheme val="minor"/>
      </rPr>
      <t>Campaign Impact</t>
    </r>
    <r>
      <rPr>
        <sz val="11"/>
        <color theme="7"/>
        <rFont val="Aptos Narrow"/>
        <family val="2"/>
        <scheme val="minor"/>
      </rPr>
      <t xml:space="preserve">, </t>
    </r>
    <r>
      <rPr>
        <sz val="11"/>
        <color theme="5" tint="-0.499984740745262"/>
        <rFont val="Aptos Narrow"/>
        <family val="2"/>
        <scheme val="minor"/>
      </rPr>
      <t>Marketing Technology Impact</t>
    </r>
  </si>
  <si>
    <t>(Amount of actual spend attributed to a particular outcome, segment, or account.)</t>
  </si>
  <si>
    <r>
      <t xml:space="preserve">Typically from your marketing spend system, then allocated by an attribution percentage if needed: </t>
    </r>
    <r>
      <rPr>
        <sz val="10"/>
        <color theme="1"/>
        <rFont val="Arial Unicode MS"/>
      </rPr>
      <t>campaign_actual_spend * marketing_attribution_pct</t>
    </r>
    <r>
      <rPr>
        <sz val="11"/>
        <color theme="1"/>
        <rFont val="Aptos Narrow"/>
        <family val="2"/>
        <scheme val="minor"/>
      </rPr>
      <t>. Many PPT dashboards mention “campaign spend (actual/anticipated).”</t>
    </r>
  </si>
  <si>
    <t>Campaign Spend (Attributed) - Planned</t>
  </si>
  <si>
    <t>(Planned or budgeted campaign spend, likewise attributed.)</t>
  </si>
  <si>
    <r>
      <t xml:space="preserve">Similar to the above but uses </t>
    </r>
    <r>
      <rPr>
        <b/>
        <sz val="11"/>
        <color theme="1"/>
        <rFont val="Aptos Narrow"/>
        <family val="2"/>
        <scheme val="minor"/>
      </rPr>
      <t>planned</t>
    </r>
    <r>
      <rPr>
        <sz val="11"/>
        <color theme="1"/>
        <rFont val="Aptos Narrow"/>
        <family val="2"/>
        <scheme val="minor"/>
      </rPr>
      <t xml:space="preserve"> spend data, e.g. </t>
    </r>
    <r>
      <rPr>
        <sz val="10"/>
        <color theme="1"/>
        <rFont val="Arial Unicode MS"/>
      </rPr>
      <t>campaign_planned_spend * marketing_attribution_pct</t>
    </r>
    <r>
      <rPr>
        <sz val="11"/>
        <color theme="1"/>
        <rFont val="Aptos Narrow"/>
        <family val="2"/>
        <scheme val="minor"/>
      </rPr>
      <t>.</t>
    </r>
  </si>
  <si>
    <t>Individuals</t>
  </si>
  <si>
    <t>Specific Company Analysis</t>
  </si>
  <si>
    <t>(List of individuals/contacts for a given company.)</t>
  </si>
  <si>
    <r>
      <t xml:space="preserve">In that dashboard, you often want to see which specific people in the account had marketing touches or outcomes. Could be a table of </t>
    </r>
    <r>
      <rPr>
        <sz val="10"/>
        <color theme="1"/>
        <rFont val="Arial Unicode MS"/>
      </rPr>
      <t>person_id</t>
    </r>
    <r>
      <rPr>
        <sz val="11"/>
        <color theme="1"/>
        <rFont val="Aptos Narrow"/>
        <family val="2"/>
        <scheme val="minor"/>
      </rPr>
      <t xml:space="preserve">, </t>
    </r>
    <r>
      <rPr>
        <sz val="10"/>
        <color theme="1"/>
        <rFont val="Arial Unicode MS"/>
      </rPr>
      <t>name</t>
    </r>
    <r>
      <rPr>
        <sz val="11"/>
        <color theme="1"/>
        <rFont val="Aptos Narrow"/>
        <family val="2"/>
        <scheme val="minor"/>
      </rPr>
      <t>, or a count.</t>
    </r>
  </si>
  <si>
    <t>Marketing Engagement Levels</t>
  </si>
  <si>
    <t>Audience Analysis</t>
  </si>
  <si>
    <t xml:space="preserve">This is grouping the overall engagement of individuals into cohorts.
No Engagement - never any recorded engagement against this individual
Minor Historic Engagement - Low levels of Interactions but non in the last 6 months. (1 -2 per 6 months)
Minor Recent Engagement - Low Levels of Interactions within the last 6 months. (1-2 in last 6 months)
Major Recent Engagement - Multiple meaningful interactions within the last 6 months
Alternatively once we have a scoring model in place then we can cohort based on the score of an individual.
</t>
  </si>
  <si>
    <t>“Groups overall engagement of individuals into cohorts (No Engagement, Minor, Major, etc.). Could also be based on a scoring model.”</t>
  </si>
  <si>
    <r>
      <t xml:space="preserve">A </t>
    </r>
    <r>
      <rPr>
        <b/>
        <sz val="11"/>
        <color theme="1"/>
        <rFont val="Aptos Narrow"/>
        <family val="2"/>
        <scheme val="minor"/>
      </rPr>
      <t>categorical</t>
    </r>
    <r>
      <rPr>
        <sz val="11"/>
        <color theme="1"/>
        <rFont val="Aptos Narrow"/>
        <family val="2"/>
        <scheme val="minor"/>
      </rPr>
      <t xml:space="preserve"> or </t>
    </r>
    <r>
      <rPr>
        <b/>
        <sz val="11"/>
        <color theme="1"/>
        <rFont val="Aptos Narrow"/>
        <family val="2"/>
        <scheme val="minor"/>
      </rPr>
      <t>score-based</t>
    </r>
    <r>
      <rPr>
        <sz val="11"/>
        <color theme="1"/>
        <rFont val="Aptos Narrow"/>
        <family val="2"/>
        <scheme val="minor"/>
      </rPr>
      <t xml:space="preserve"> field that classifies an individual’s engagement. For example, logic like: </t>
    </r>
    <r>
      <rPr>
        <sz val="10"/>
        <color theme="1"/>
        <rFont val="Arial Unicode MS"/>
      </rPr>
      <t>IF last_6mo_interactions ≥ 3 THEN "Major Recent Engagement" ELSE…</t>
    </r>
    <r>
      <rPr>
        <sz val="11"/>
        <color theme="1"/>
        <rFont val="Aptos Narrow"/>
        <family val="2"/>
        <scheme val="minor"/>
      </rPr>
      <t>. Typically computed from marketing activity logs.</t>
    </r>
  </si>
  <si>
    <t>Historic Customer Value</t>
  </si>
  <si>
    <t>Only Relevant at the account level.
This is the Sum total of all Total_SOV.</t>
  </si>
  <si>
    <t>“Only relevant at the account level. This is the sum total of all Total_SOV.”</t>
  </si>
  <si>
    <r>
      <t xml:space="preserve">A </t>
    </r>
    <r>
      <rPr>
        <b/>
        <sz val="11"/>
        <color theme="1"/>
        <rFont val="Aptos Narrow"/>
        <family val="2"/>
        <scheme val="minor"/>
      </rPr>
      <t>summation</t>
    </r>
    <r>
      <rPr>
        <sz val="11"/>
        <color theme="1"/>
        <rFont val="Aptos Narrow"/>
        <family val="2"/>
        <scheme val="minor"/>
      </rPr>
      <t xml:space="preserve"> of total historical SOV for an account, stored or calculated as </t>
    </r>
    <r>
      <rPr>
        <sz val="10"/>
        <color theme="1"/>
        <rFont val="Arial Unicode MS"/>
      </rPr>
      <t>historic_sov</t>
    </r>
    <r>
      <rPr>
        <sz val="11"/>
        <color theme="1"/>
        <rFont val="Aptos Narrow"/>
        <family val="2"/>
        <scheme val="minor"/>
      </rPr>
      <t>.</t>
    </r>
  </si>
  <si>
    <t>Customer Tenure</t>
  </si>
  <si>
    <t>(How long the customer has been with BT—e.g., months or years.)</t>
  </si>
  <si>
    <r>
      <t xml:space="preserve">Could be </t>
    </r>
    <r>
      <rPr>
        <sz val="10"/>
        <color theme="1"/>
        <rFont val="Arial Unicode MS"/>
      </rPr>
      <t>(current_date - customer_start_date)</t>
    </r>
    <r>
      <rPr>
        <sz val="11"/>
        <color theme="1"/>
        <rFont val="Aptos Narrow"/>
        <family val="2"/>
        <scheme val="minor"/>
      </rPr>
      <t xml:space="preserve"> or a banded classification: </t>
    </r>
    <r>
      <rPr>
        <sz val="10"/>
        <color theme="1"/>
        <rFont val="Arial Unicode MS"/>
      </rPr>
      <t>'0-6 months'</t>
    </r>
    <r>
      <rPr>
        <sz val="11"/>
        <color theme="1"/>
        <rFont val="Aptos Narrow"/>
        <family val="2"/>
        <scheme val="minor"/>
      </rPr>
      <t xml:space="preserve">, </t>
    </r>
    <r>
      <rPr>
        <sz val="10"/>
        <color theme="1"/>
        <rFont val="Arial Unicode MS"/>
      </rPr>
      <t>'6-12 months'</t>
    </r>
    <r>
      <rPr>
        <sz val="11"/>
        <color theme="1"/>
        <rFont val="Aptos Narrow"/>
        <family val="2"/>
        <scheme val="minor"/>
      </rPr>
      <t xml:space="preserve">, </t>
    </r>
    <r>
      <rPr>
        <sz val="10"/>
        <color theme="1"/>
        <rFont val="Arial Unicode MS"/>
      </rPr>
      <t>'12+ months'</t>
    </r>
    <r>
      <rPr>
        <sz val="11"/>
        <color theme="1"/>
        <rFont val="Aptos Narrow"/>
        <family val="2"/>
        <scheme val="minor"/>
      </rPr>
      <t>. Typically stored in the account record or derived on the fly.</t>
    </r>
  </si>
  <si>
    <t>Marketing Activity Date</t>
  </si>
  <si>
    <t>(Date on which a particular marketing activity occurred—e.g., email send date, ad launch date, etc.)</t>
  </si>
  <si>
    <r>
      <t xml:space="preserve">A field in the </t>
    </r>
    <r>
      <rPr>
        <b/>
        <sz val="11"/>
        <color theme="1"/>
        <rFont val="Aptos Narrow"/>
        <family val="2"/>
        <scheme val="minor"/>
      </rPr>
      <t>marketing activity logs</t>
    </r>
    <r>
      <rPr>
        <sz val="11"/>
        <color theme="1"/>
        <rFont val="Aptos Narrow"/>
        <family val="2"/>
        <scheme val="minor"/>
      </rPr>
      <t xml:space="preserve">, e.g., </t>
    </r>
    <r>
      <rPr>
        <sz val="10"/>
        <color theme="1"/>
        <rFont val="Arial Unicode MS"/>
      </rPr>
      <t>activity_date</t>
    </r>
    <r>
      <rPr>
        <sz val="11"/>
        <color theme="1"/>
        <rFont val="Aptos Narrow"/>
        <family val="2"/>
        <scheme val="minor"/>
      </rPr>
      <t>. The PPT specifically notes “Marketing Activity Date” as a filter for these dashboards.</t>
    </r>
  </si>
  <si>
    <t>Marketing Technology</t>
  </si>
  <si>
    <t>(Indicates which platform or tool was used, e.g., Marketo, Eloqua, Pardot, etc.)</t>
  </si>
  <si>
    <r>
      <t xml:space="preserve">A </t>
    </r>
    <r>
      <rPr>
        <b/>
        <sz val="11"/>
        <color theme="1"/>
        <rFont val="Aptos Narrow"/>
        <family val="2"/>
        <scheme val="minor"/>
      </rPr>
      <t>categorical</t>
    </r>
    <r>
      <rPr>
        <sz val="11"/>
        <color theme="1"/>
        <rFont val="Aptos Narrow"/>
        <family val="2"/>
        <scheme val="minor"/>
      </rPr>
      <t xml:space="preserve"> field referencing the marketing technology. E.g., </t>
    </r>
    <r>
      <rPr>
        <sz val="10"/>
        <color theme="1"/>
        <rFont val="Arial Unicode MS"/>
      </rPr>
      <t>marketing_tech_id</t>
    </r>
    <r>
      <rPr>
        <sz val="11"/>
        <color theme="1"/>
        <rFont val="Aptos Narrow"/>
        <family val="2"/>
        <scheme val="minor"/>
      </rPr>
      <t xml:space="preserve"> → </t>
    </r>
    <r>
      <rPr>
        <sz val="10"/>
        <color theme="1"/>
        <rFont val="Arial Unicode MS"/>
      </rPr>
      <t>'Marketo'</t>
    </r>
    <r>
      <rPr>
        <sz val="11"/>
        <color theme="1"/>
        <rFont val="Aptos Narrow"/>
        <family val="2"/>
        <scheme val="minor"/>
      </rPr>
      <t>. The PPT explicitly references it for Marketing Impact (to show which tech was used) and Marketing Technology Impact (the main focus).</t>
    </r>
  </si>
  <si>
    <t>Campaign Objective</t>
  </si>
  <si>
    <t>“Welcome, Acquisition, Upsell, Cross-sell, Retention, In-Life, Service, Migration, Out of Contract.”</t>
  </si>
  <si>
    <r>
      <t xml:space="preserve">A </t>
    </r>
    <r>
      <rPr>
        <b/>
        <sz val="11"/>
        <color theme="1"/>
        <rFont val="Aptos Narrow"/>
        <family val="2"/>
        <scheme val="minor"/>
      </rPr>
      <t>categorical</t>
    </r>
    <r>
      <rPr>
        <sz val="11"/>
        <color theme="1"/>
        <rFont val="Aptos Narrow"/>
        <family val="2"/>
        <scheme val="minor"/>
      </rPr>
      <t xml:space="preserve"> field describing the main goal of the campaign. E.g., </t>
    </r>
    <r>
      <rPr>
        <sz val="10"/>
        <color theme="1"/>
        <rFont val="Arial Unicode MS"/>
      </rPr>
      <t>campaign_objective = 'Retention'</t>
    </r>
    <r>
      <rPr>
        <sz val="11"/>
        <color theme="1"/>
        <rFont val="Aptos Narrow"/>
        <family val="2"/>
        <scheme val="minor"/>
      </rPr>
      <t>. All these dashboards can break down or filter by the objective.</t>
    </r>
  </si>
  <si>
    <t>Audience Vertical</t>
  </si>
  <si>
    <r>
      <t xml:space="preserve">Audience Analysis, </t>
    </r>
    <r>
      <rPr>
        <sz val="11"/>
        <color theme="8"/>
        <rFont val="Aptos Narrow"/>
        <family val="2"/>
        <scheme val="minor"/>
      </rPr>
      <t>Marketing Impact</t>
    </r>
    <r>
      <rPr>
        <sz val="11"/>
        <color theme="7"/>
        <rFont val="Aptos Narrow"/>
        <family val="2"/>
        <scheme val="minor"/>
      </rPr>
      <t>,</t>
    </r>
    <r>
      <rPr>
        <sz val="11"/>
        <color theme="9"/>
        <rFont val="Aptos Narrow"/>
        <family val="2"/>
        <scheme val="minor"/>
      </rPr>
      <t>Channel Impact</t>
    </r>
    <r>
      <rPr>
        <sz val="11"/>
        <color theme="7"/>
        <rFont val="Aptos Narrow"/>
        <family val="2"/>
        <scheme val="minor"/>
      </rPr>
      <t xml:space="preserve">, </t>
    </r>
    <r>
      <rPr>
        <sz val="11"/>
        <color rgb="FFC00000"/>
        <rFont val="Aptos Narrow"/>
        <family val="2"/>
        <scheme val="minor"/>
      </rPr>
      <t>Campaign Impact</t>
    </r>
    <r>
      <rPr>
        <sz val="11"/>
        <color theme="7"/>
        <rFont val="Aptos Narrow"/>
        <family val="2"/>
        <scheme val="minor"/>
      </rPr>
      <t xml:space="preserve">, </t>
    </r>
    <r>
      <rPr>
        <sz val="11"/>
        <color theme="5" tint="-0.499984740745262"/>
        <rFont val="Aptos Narrow"/>
        <family val="2"/>
        <scheme val="minor"/>
      </rPr>
      <t>Marketing Technology Impact</t>
    </r>
  </si>
  <si>
    <t>(Industry vertical or market segment, e.g. 'Finance', 'Retail', 'Education', etc.)</t>
  </si>
  <si>
    <r>
      <t xml:space="preserve">A </t>
    </r>
    <r>
      <rPr>
        <b/>
        <sz val="11"/>
        <color theme="1"/>
        <rFont val="Aptos Narrow"/>
        <family val="2"/>
        <scheme val="minor"/>
      </rPr>
      <t>lookup</t>
    </r>
    <r>
      <rPr>
        <sz val="11"/>
        <color theme="1"/>
        <rFont val="Aptos Narrow"/>
        <family val="2"/>
        <scheme val="minor"/>
      </rPr>
      <t xml:space="preserve"> to an industry/vertical classification. Possibly stored as </t>
    </r>
    <r>
      <rPr>
        <sz val="10"/>
        <color theme="1"/>
        <rFont val="Arial Unicode MS"/>
      </rPr>
      <t>audience_vertical</t>
    </r>
    <r>
      <rPr>
        <sz val="11"/>
        <color theme="1"/>
        <rFont val="Aptos Narrow"/>
        <family val="2"/>
        <scheme val="minor"/>
      </rPr>
      <t>. The PPT specifically names “Industry &amp; Vertical” for Audience Analysis, and also “Audience Groupings” for Marketing Impact, so it can appear in other dashboards if you want a breakdown by vertical.</t>
    </r>
  </si>
  <si>
    <t>Audience Industry</t>
  </si>
  <si>
    <t>(Another layer of audience classification, e.g. 'Financial Services', 'Healthcare', etc.)</t>
  </si>
  <si>
    <r>
      <t xml:space="preserve">Similar to “Audience Vertical.” Could be a separate or more detailed field, e.g., </t>
    </r>
    <r>
      <rPr>
        <sz val="10"/>
        <color theme="1"/>
        <rFont val="Arial Unicode MS"/>
      </rPr>
      <t>audience_industry_code</t>
    </r>
    <r>
      <rPr>
        <sz val="11"/>
        <color theme="1"/>
        <rFont val="Aptos Narrow"/>
        <family val="2"/>
        <scheme val="minor"/>
      </rPr>
      <t>.</t>
    </r>
  </si>
  <si>
    <t>Audience Company Size</t>
  </si>
  <si>
    <t>(Breakdown by number of employees, revenue band, etc.)</t>
  </si>
  <si>
    <r>
      <t xml:space="preserve">A </t>
    </r>
    <r>
      <rPr>
        <b/>
        <sz val="11"/>
        <color theme="1"/>
        <rFont val="Aptos Narrow"/>
        <family val="2"/>
        <scheme val="minor"/>
      </rPr>
      <t>categorical</t>
    </r>
    <r>
      <rPr>
        <sz val="11"/>
        <color theme="1"/>
        <rFont val="Aptos Narrow"/>
        <family val="2"/>
        <scheme val="minor"/>
      </rPr>
      <t xml:space="preserve"> or numeric field for company size. E.g. </t>
    </r>
    <r>
      <rPr>
        <sz val="10"/>
        <color theme="1"/>
        <rFont val="Arial Unicode MS"/>
      </rPr>
      <t>'1-50 employees', '51-200', etc.</t>
    </r>
    <r>
      <rPr>
        <sz val="11"/>
        <color theme="1"/>
        <rFont val="Aptos Narrow"/>
        <family val="2"/>
        <scheme val="minor"/>
      </rPr>
      <t xml:space="preserve"> Possibly stored as </t>
    </r>
    <r>
      <rPr>
        <sz val="10"/>
        <color theme="1"/>
        <rFont val="Arial Unicode MS"/>
      </rPr>
      <t>company_size_band</t>
    </r>
    <r>
      <rPr>
        <sz val="11"/>
        <color theme="1"/>
        <rFont val="Aptos Narrow"/>
        <family val="2"/>
        <scheme val="minor"/>
      </rPr>
      <t>. Many dashboards mention “Audience Groupings” that can include company size.</t>
    </r>
  </si>
  <si>
    <t>ID</t>
  </si>
  <si>
    <t>Group</t>
  </si>
  <si>
    <t>Identifiable method</t>
  </si>
  <si>
    <t>Type</t>
  </si>
  <si>
    <t>Comment</t>
  </si>
  <si>
    <t>Paid Digital Ads</t>
  </si>
  <si>
    <t>ATL</t>
  </si>
  <si>
    <t>IP Inferred</t>
  </si>
  <si>
    <t>Content Syndication</t>
  </si>
  <si>
    <t>Audience Inferred</t>
  </si>
  <si>
    <t>Web</t>
  </si>
  <si>
    <t>IP Inferred or Better</t>
  </si>
  <si>
    <t>Above the Line - Non Digital</t>
  </si>
  <si>
    <t>Placeholder For multiple channels</t>
  </si>
  <si>
    <t>Social Posts</t>
  </si>
  <si>
    <t>Social Outbound Messages</t>
  </si>
  <si>
    <t>BTL</t>
  </si>
  <si>
    <t>Known Person</t>
  </si>
  <si>
    <t>Virtual Events</t>
  </si>
  <si>
    <t>Self Identified</t>
  </si>
  <si>
    <t>F2F Events</t>
  </si>
  <si>
    <t>Webinars</t>
  </si>
  <si>
    <t>Direct Mail</t>
  </si>
  <si>
    <t>Whatsapp</t>
  </si>
  <si>
    <t>RCS</t>
  </si>
  <si>
    <t>Email</t>
  </si>
  <si>
    <t>SMS</t>
  </si>
  <si>
    <t>MMS</t>
  </si>
  <si>
    <t>App Push Notification</t>
  </si>
  <si>
    <t>Sales Meetings</t>
  </si>
  <si>
    <t>Sales</t>
  </si>
  <si>
    <t>Sales Calls</t>
  </si>
  <si>
    <t>Sales Email</t>
  </si>
  <si>
    <t>Channel</t>
  </si>
  <si>
    <t>Viewed</t>
  </si>
  <si>
    <t>Clicked</t>
  </si>
  <si>
    <t>Submit Form</t>
  </si>
  <si>
    <t>Page View</t>
  </si>
  <si>
    <t>Link Click</t>
  </si>
  <si>
    <t>Watch Video</t>
  </si>
  <si>
    <t>Download</t>
  </si>
  <si>
    <t>Live Chat?</t>
  </si>
  <si>
    <t>Responded</t>
  </si>
  <si>
    <t>Opt-Out</t>
  </si>
  <si>
    <t>Registered</t>
  </si>
  <si>
    <t>Attended</t>
  </si>
  <si>
    <t>View on Demand</t>
  </si>
  <si>
    <t>Sent</t>
  </si>
  <si>
    <t>Delivered</t>
  </si>
  <si>
    <t>Bounced</t>
  </si>
  <si>
    <t>Received</t>
  </si>
  <si>
    <t>Read</t>
  </si>
  <si>
    <t>Opened</t>
  </si>
  <si>
    <t>Responsed</t>
  </si>
  <si>
    <t>Invited</t>
  </si>
  <si>
    <t>Dialled</t>
  </si>
  <si>
    <t>Answered</t>
  </si>
  <si>
    <t>Engaged</t>
  </si>
  <si>
    <t>Inbound Calls</t>
  </si>
  <si>
    <t>Called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</si>
</sst>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00_-;\-[$£-809]* #,##0.00_-;_-[$£-809]* &quot;-&quot;??_-;_-@_-"/>
  </numFmts>
  <fonts count="22">
    <font>
      <sz val="11"/>
      <color theme="1"/>
      <name val="Aptos Narrow"/>
      <family val="2"/>
      <scheme val="minor"/>
    </font>
    <font>
      <b/>
      <sz val="11"/>
      <color theme="1"/>
      <name val="Aptos Narrow"/>
      <family val="2"/>
      <scheme val="minor"/>
    </font>
    <font>
      <sz val="11"/>
      <color rgb="FF242424"/>
      <name val="Times New Roman"/>
      <family val="1"/>
    </font>
    <font>
      <sz val="12"/>
      <color rgb="FF000000"/>
      <name val="Calibri"/>
      <family val="2"/>
    </font>
    <font>
      <sz val="11"/>
      <color theme="4"/>
      <name val="Aptos Narrow"/>
      <family val="2"/>
      <scheme val="minor"/>
    </font>
    <font>
      <sz val="11"/>
      <color theme="5"/>
      <name val="Aptos Narrow"/>
      <family val="2"/>
      <scheme val="minor"/>
    </font>
    <font>
      <sz val="11"/>
      <color theme="6"/>
      <name val="Aptos Narrow"/>
      <family val="2"/>
      <scheme val="minor"/>
    </font>
    <font>
      <sz val="11"/>
      <color theme="7"/>
      <name val="Aptos Narrow"/>
      <family val="2"/>
      <scheme val="minor"/>
    </font>
    <font>
      <sz val="11"/>
      <color rgb="FF000000"/>
      <name val="Aptos Narrow"/>
      <scheme val="minor"/>
    </font>
    <font>
      <b/>
      <sz val="11"/>
      <color rgb="FF000000"/>
      <name val="Aptos Narrow"/>
      <scheme val="minor"/>
    </font>
    <font>
      <sz val="11"/>
      <color rgb="FF000000"/>
      <name val="Aptos Narrow"/>
      <family val="2"/>
      <scheme val="minor"/>
    </font>
    <font>
      <b/>
      <sz val="11"/>
      <color theme="0" tint="-0.249977111117893"/>
      <name val="Aptos"/>
      <family val="2"/>
    </font>
    <font>
      <sz val="11"/>
      <color theme="0" tint="-0.249977111117893"/>
      <name val="Aptos Narrow"/>
      <family val="2"/>
      <scheme val="minor"/>
    </font>
    <font>
      <sz val="11"/>
      <color theme="0" tint="-0.249977111117893"/>
      <name val="Times New Roman"/>
      <family val="1"/>
    </font>
    <font>
      <sz val="11"/>
      <color theme="8"/>
      <name val="Aptos Narrow"/>
      <family val="2"/>
      <scheme val="minor"/>
    </font>
    <font>
      <sz val="11"/>
      <color theme="9"/>
      <name val="Aptos Narrow"/>
      <family val="2"/>
      <scheme val="minor"/>
    </font>
    <font>
      <i/>
      <sz val="11"/>
      <color theme="1"/>
      <name val="Aptos Narrow"/>
      <family val="2"/>
      <scheme val="minor"/>
    </font>
    <font>
      <sz val="10"/>
      <color theme="1"/>
      <name val="Arial Unicode MS"/>
    </font>
    <font>
      <sz val="11"/>
      <color rgb="FFC00000"/>
      <name val="Aptos Narrow"/>
      <family val="2"/>
      <scheme val="minor"/>
    </font>
    <font>
      <sz val="11"/>
      <color theme="5" tint="-0.499984740745262"/>
      <name val="Aptos Narrow"/>
      <family val="2"/>
      <scheme val="minor"/>
    </font>
    <font>
      <sz val="11"/>
      <color theme="1" tint="0.249977111117893"/>
      <name val="Aptos Narrow"/>
      <family val="2"/>
      <scheme val="minor"/>
    </font>
    <font>
      <sz val="10"/>
      <color theme="1"/>
      <name val="Courier New"/>
      <charset val="1"/>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s>
  <borders count="10">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0" fillId="2" borderId="0" xfId="0" applyFill="1"/>
    <xf numFmtId="0" fontId="0" fillId="2" borderId="0" xfId="0" applyFill="1" applyAlignment="1">
      <alignment vertical="center" wrapText="1"/>
    </xf>
    <xf numFmtId="0" fontId="0" fillId="2" borderId="0" xfId="0" applyFill="1" applyAlignment="1">
      <alignment wrapText="1"/>
    </xf>
    <xf numFmtId="0" fontId="1" fillId="0" borderId="0" xfId="0" applyFont="1" applyAlignment="1">
      <alignment horizontal="center" vertical="center"/>
    </xf>
    <xf numFmtId="0" fontId="0" fillId="0" borderId="0" xfId="0" applyAlignment="1">
      <alignment vertical="center"/>
    </xf>
    <xf numFmtId="0" fontId="1" fillId="2" borderId="0" xfId="0" applyFont="1" applyFill="1" applyAlignment="1">
      <alignment horizontal="center" vertical="center"/>
    </xf>
    <xf numFmtId="0" fontId="11" fillId="0" borderId="0" xfId="0" applyFont="1" applyAlignment="1">
      <alignment vertical="center"/>
    </xf>
    <xf numFmtId="0" fontId="13"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wrapText="1"/>
    </xf>
    <xf numFmtId="0" fontId="16" fillId="0" borderId="0" xfId="0" applyFont="1" applyAlignment="1">
      <alignment vertical="center" wrapText="1"/>
    </xf>
    <xf numFmtId="0" fontId="17" fillId="0" borderId="0" xfId="0" applyFont="1" applyAlignment="1">
      <alignment vertical="center"/>
    </xf>
    <xf numFmtId="0" fontId="0" fillId="0" borderId="0" xfId="0" applyAlignment="1">
      <alignment wrapText="1"/>
    </xf>
    <xf numFmtId="0" fontId="12" fillId="0" borderId="0" xfId="0" applyFont="1" applyAlignment="1">
      <alignment wrapText="1"/>
    </xf>
    <xf numFmtId="0" fontId="10"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14"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1" fillId="0" borderId="0" xfId="0" applyFont="1" applyAlignment="1">
      <alignment wrapText="1"/>
    </xf>
    <xf numFmtId="0" fontId="0" fillId="0" borderId="1" xfId="0" applyBorder="1"/>
    <xf numFmtId="0" fontId="0" fillId="0" borderId="2" xfId="0" applyBorder="1"/>
    <xf numFmtId="0" fontId="0" fillId="0" borderId="3" xfId="0" applyBorder="1"/>
    <xf numFmtId="0" fontId="1" fillId="0" borderId="4" xfId="0" applyFont="1" applyBorder="1"/>
    <xf numFmtId="0" fontId="0" fillId="0" borderId="5" xfId="0" applyBorder="1"/>
    <xf numFmtId="0" fontId="0" fillId="0" borderId="6" xfId="0" applyBorder="1"/>
    <xf numFmtId="0" fontId="20" fillId="0" borderId="0" xfId="0" applyFont="1"/>
    <xf numFmtId="9" fontId="0" fillId="0" borderId="0" xfId="0" applyNumberFormat="1"/>
    <xf numFmtId="164" fontId="0" fillId="0" borderId="0" xfId="0" applyNumberFormat="1"/>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3" borderId="0" xfId="0" applyFill="1"/>
    <xf numFmtId="0" fontId="1" fillId="5" borderId="0" xfId="0" applyFont="1" applyFill="1" applyAlignment="1">
      <alignment horizontal="center" vertical="center"/>
    </xf>
    <xf numFmtId="0" fontId="21" fillId="0" borderId="0" xfId="0" applyFont="1" applyAlignment="1">
      <alignment wrapText="1" readingOrder="1"/>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cellXfs>
  <cellStyles count="1">
    <cellStyle name="Normal" xfId="0" builtinId="0"/>
  </cellStyles>
  <dxfs count="3">
    <dxf>
      <alignment horizontal="general" vertical="bottom"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David Irvine" id="{2D30A5D6-A763-4ABB-81AE-1F40D026C227}" userId="dirvine@clever-touch.com" providerId="PeoplePicker"/>
  <person displayName="Chloe Martin" id="{14C944A1-1481-401E-974A-00A50AE6EDAF}" userId="S::Cmartin@clever-touch.com::360aebb7-4465-4ee2-83a1-3773e61f42b9" providerId="AD"/>
  <person displayName="David Irvine" id="{B662DE40-7D09-46E5-994D-04657B702874}" userId="S::dirvine@clever-touch.com::3634e974-cce3-4d9b-99f6-f0a18f34284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96AB2F-F9BE-4F78-8BC5-51EC98BD60B1}" name="Table1" displayName="Table1" ref="A1:J164" totalsRowShown="0">
  <autoFilter ref="A1:J164" xr:uid="{AE1AD4F9-4E3A-41DA-9532-E435FAC78061}">
    <filterColumn colId="1">
      <filters>
        <filter val="product"/>
        <filter val="product_family"/>
        <filter val="product_id"/>
        <filter val="product_parent_id"/>
        <filter val="product_price_type"/>
        <filter val="product_quantity"/>
      </filters>
    </filterColumn>
  </autoFilter>
  <sortState xmlns:xlrd2="http://schemas.microsoft.com/office/spreadsheetml/2017/richdata2" ref="A2:J162">
    <sortCondition ref="A1:A162"/>
  </sortState>
  <tableColumns count="10">
    <tableColumn id="1" xr3:uid="{FA10E4DE-EA14-4D6D-B2DE-B36300D4BF76}" name="Object" dataDxfId="2"/>
    <tableColumn id="2" xr3:uid="{32E1B4A0-4AC4-478E-B858-9CDAC148562B}" name="Name"/>
    <tableColumn id="3" xr3:uid="{85FF24E0-DD58-4F79-B3D0-388BE33FFF38}" name="Description" dataDxfId="1"/>
    <tableColumn id="4" xr3:uid="{DDF2A8F8-D578-432C-9C8E-513579A7E305}" name="Purpose(modelling)"/>
    <tableColumn id="5" xr3:uid="{16FB7B03-B8ED-4DDE-99A6-CE5534013176}" name="Purpose(Analytics)"/>
    <tableColumn id="6" xr3:uid="{ED2E566B-7FFE-4EB2-A8E3-BAB3EAAF699B}" name="Format"/>
    <tableColumn id="7" xr3:uid="{8529F2E9-FE33-49C3-9957-B17949619D35}" name="Example Values" dataDxfId="0"/>
    <tableColumn id="8" xr3:uid="{6F705DBE-267C-4645-8C93-CB99BEC6A154}" name="Tokenised"/>
    <tableColumn id="9" xr3:uid="{193B0F12-7095-425B-833D-884F117D2CC8}" name="Tokenised Reason"/>
    <tableColumn id="10" xr3:uid="{D6E8B652-AD77-4FB5-BD6A-F4C444E11ED9}" name="Require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0" dT="2025-03-06T16:38:55.69" personId="{14C944A1-1481-401E-974A-00A50AE6EDAF}" id="{57FA6171-D98F-4CBE-BFC6-0F80D28C0683}">
    <text xml:space="preserve">@David Irvine 
Model Type id like rule/technique id/version may be needed
</text>
    <mentions>
      <mention mentionpersonId="{2D30A5D6-A763-4ABB-81AE-1F40D026C227}" mentionId="{2F617B9F-F35D-4300-BECB-E6375FCCC83C}" startIndex="0" length="13"/>
    </mentions>
  </threadedComment>
  <threadedComment ref="C21" dT="2025-03-06T16:39:11.41" personId="{14C944A1-1481-401E-974A-00A50AE6EDAF}" id="{0274946B-05FE-4A74-940A-A8DC46B315F1}">
    <text xml:space="preserve">@David Irvine 
Example please
</text>
    <mentions>
      <mention mentionpersonId="{2D30A5D6-A763-4ABB-81AE-1F40D026C227}" mentionId="{5C294C0F-8E2C-4279-9BA2-7BE5C8BCE3CA}" startIndex="0" length="13"/>
    </mentions>
  </threadedComment>
  <threadedComment ref="C21" dT="2025-03-07T22:33:19.75" personId="{B662DE40-7D09-46E5-994D-04657B702874}" id="{8926F950-B59C-445B-88C8-B788066D21F2}" parentId="{0274946B-05FE-4A74-940A-A8DC46B315F1}">
    <text>See Example Values</text>
  </threadedComment>
  <threadedComment ref="C39" dT="2025-03-06T16:36:28.55" personId="{14C944A1-1481-401E-974A-00A50AE6EDAF}" id="{F565C7A7-7FF2-4D3F-BF6D-DAD651623CF7}">
    <text xml:space="preserve">@David Irvine 
examples please - is it like new acquisition , resign..
</text>
    <mentions>
      <mention mentionpersonId="{2D30A5D6-A763-4ABB-81AE-1F40D026C227}" mentionId="{00D4BD6B-7F54-40DA-AB92-772CC0C08AB6}" startIndex="0" length="13"/>
    </mentions>
  </threadedComment>
  <threadedComment ref="C39" dT="2025-03-07T22:05:00.78" personId="{B662DE40-7D09-46E5-994D-04657B702874}" id="{2B302367-B7A3-43B4-82E6-7FC755E1E66A}" parentId="{F565C7A7-7FF2-4D3F-BF6D-DAD651623CF7}">
    <text>I have given the Marketo Values that were used. Need to cross check these with the potential Monday.com Values which might be a more authoritative source of value options.</text>
  </threadedComment>
  <threadedComment ref="G43" dT="2025-03-06T16:35:13.02" personId="{14C944A1-1481-401E-974A-00A50AE6EDAF}" id="{710AF4BE-211D-4E73-BD3F-C39C02D0E5DC}">
    <text xml:space="preserve">@David Irvine 
(i)how to differentiate from BTL if there is more than one individual to be contacted (ii) Is there a specific channel available like collaborative-event. Any example for 'Sales' as a channel please
</text>
    <mentions>
      <mention mentionpersonId="{2D30A5D6-A763-4ABB-81AE-1F40D026C227}" mentionId="{5FA50CBA-8F48-47DD-833F-96694B194028}" startIndex="0" length="13"/>
    </mentions>
  </threadedComment>
  <threadedComment ref="G45" dT="2025-03-06T16:36:02.01" personId="{14C944A1-1481-401E-974A-00A50AE6EDAF}" id="{B1C76761-6506-4B3F-A378-69D1147B5870}">
    <text xml:space="preserve">@David Irvine 
Conversation may be divided to Chat &amp; Call by BT representative (including AI assisted )
</text>
    <mentions>
      <mention mentionpersonId="{2D30A5D6-A763-4ABB-81AE-1F40D026C227}" mentionId="{09FFD19E-344E-45A8-85D7-6A39558E8131}" startIndex="0" length="13"/>
    </mentions>
  </threadedComment>
  <threadedComment ref="B61" dT="2025-03-06T16:38:33.85" personId="{14C944A1-1481-401E-974A-00A50AE6EDAF}" id="{8497C7DA-1239-4373-88D7-CCD3FD1374B1}">
    <text xml:space="preserve">@David Irvine 
May need to be product like Broadbrand , BT net etc) not Marketing Asset (like bulletin board, pamphlet etc)
</text>
    <mentions>
      <mention mentionpersonId="{2D30A5D6-A763-4ABB-81AE-1F40D026C227}" mentionId="{576CC030-1B6D-4CCB-BC5F-594D12D9EABC}" startIndex="0" length="13"/>
    </mentions>
  </threadedComment>
  <threadedComment ref="B61" dT="2025-03-07T22:24:32.38" personId="{B662DE40-7D09-46E5-994D-04657B702874}" id="{3477900C-1235-4AD9-B6B9-B36EBE216470}" parentId="{8497C7DA-1239-4373-88D7-CCD3FD1374B1}">
    <text>See comment on product family</text>
  </threadedComment>
  <threadedComment ref="C91" dT="2025-03-06T16:36:49.39" personId="{14C944A1-1481-401E-974A-00A50AE6EDAF}" id="{B341755A-7D9C-4B12-B3E8-F721DABD8A3A}">
    <text xml:space="preserve">@David Irvine 
example please . is it a available field in existing Marketo Activities?
</text>
    <mentions>
      <mention mentionpersonId="{2D30A5D6-A763-4ABB-81AE-1F40D026C227}" mentionId="{40C38E33-B939-49D4-8B2E-6D818BD6F889}" startIndex="0" length="13"/>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BEB6-65EB-437D-B437-4DFA85EC4A08}">
  <dimension ref="A1:M20"/>
  <sheetViews>
    <sheetView zoomScale="115" zoomScaleNormal="100" workbookViewId="0">
      <pane xSplit="1" ySplit="1" topLeftCell="B11" activePane="bottomRight" state="frozen"/>
      <selection pane="bottomRight" activeCell="B19" sqref="B19"/>
      <selection pane="bottomLeft"/>
      <selection pane="topRight"/>
    </sheetView>
  </sheetViews>
  <sheetFormatPr defaultRowHeight="15"/>
  <cols>
    <col min="1" max="1" width="36.140625" bestFit="1" customWidth="1"/>
    <col min="2" max="2" width="34.42578125" bestFit="1" customWidth="1"/>
    <col min="3" max="3" width="60.140625" style="16" customWidth="1"/>
    <col min="4" max="4" width="49.5703125" style="16" bestFit="1" customWidth="1"/>
    <col min="5" max="5" width="37.140625" style="16" customWidth="1"/>
    <col min="6" max="6" width="158.42578125" style="16" customWidth="1"/>
    <col min="7" max="7" width="11.28515625" bestFit="1" customWidth="1"/>
    <col min="8" max="8" width="9.140625" bestFit="1" customWidth="1"/>
    <col min="9" max="9" width="15.85546875" bestFit="1" customWidth="1"/>
    <col min="11" max="11" width="28" customWidth="1"/>
    <col min="12" max="12" width="31.85546875" customWidth="1"/>
    <col min="13" max="13" width="22.28515625" customWidth="1"/>
  </cols>
  <sheetData>
    <row r="1" spans="1:13">
      <c r="A1" s="7" t="s">
        <v>0</v>
      </c>
      <c r="B1" s="7" t="s">
        <v>1</v>
      </c>
      <c r="C1" s="13" t="s">
        <v>2</v>
      </c>
      <c r="D1" s="13" t="s">
        <v>3</v>
      </c>
      <c r="E1" s="13" t="s">
        <v>4</v>
      </c>
      <c r="F1" s="13" t="s">
        <v>5</v>
      </c>
      <c r="G1" s="7" t="s">
        <v>6</v>
      </c>
      <c r="H1" t="s">
        <v>7</v>
      </c>
      <c r="I1" t="s">
        <v>8</v>
      </c>
      <c r="J1" t="s">
        <v>9</v>
      </c>
      <c r="K1" s="3" t="s">
        <v>10</v>
      </c>
      <c r="L1" s="3" t="s">
        <v>11</v>
      </c>
      <c r="M1" t="s">
        <v>12</v>
      </c>
    </row>
    <row r="2" spans="1:13" ht="90">
      <c r="A2" s="34" t="s">
        <v>13</v>
      </c>
      <c r="B2" s="34" t="s">
        <v>14</v>
      </c>
      <c r="C2" s="1" t="s">
        <v>15</v>
      </c>
      <c r="D2" s="1" t="s">
        <v>16</v>
      </c>
      <c r="E2" s="1" t="s">
        <v>17</v>
      </c>
      <c r="F2" s="5" t="s">
        <v>18</v>
      </c>
      <c r="G2">
        <f>COUNTIF(Attributes!A:A,objects!A2)</f>
        <v>18</v>
      </c>
      <c r="H2" t="s">
        <v>19</v>
      </c>
      <c r="I2">
        <v>1</v>
      </c>
      <c r="J2">
        <v>30</v>
      </c>
      <c r="L2" s="3" t="s">
        <v>20</v>
      </c>
    </row>
    <row r="3" spans="1:13" ht="75">
      <c r="A3" s="35" t="s">
        <v>21</v>
      </c>
      <c r="B3" s="35" t="s">
        <v>22</v>
      </c>
      <c r="C3" s="1" t="s">
        <v>23</v>
      </c>
      <c r="D3" s="1" t="s">
        <v>24</v>
      </c>
      <c r="E3" s="1" t="s">
        <v>25</v>
      </c>
      <c r="F3" s="1" t="s">
        <v>26</v>
      </c>
      <c r="G3">
        <f>COUNTIF(Attributes!A:A,objects!A3)</f>
        <v>6</v>
      </c>
      <c r="H3" t="s">
        <v>27</v>
      </c>
      <c r="I3">
        <v>2</v>
      </c>
      <c r="J3">
        <v>10</v>
      </c>
    </row>
    <row r="4" spans="1:13" ht="75">
      <c r="A4" s="35" t="s">
        <v>28</v>
      </c>
      <c r="B4" s="35" t="s">
        <v>22</v>
      </c>
      <c r="C4" s="1" t="s">
        <v>29</v>
      </c>
      <c r="D4" s="1" t="s">
        <v>30</v>
      </c>
      <c r="E4" s="1" t="s">
        <v>31</v>
      </c>
      <c r="F4" s="1" t="s">
        <v>32</v>
      </c>
      <c r="G4">
        <f>COUNTIF(Attributes!A:A,objects!A4)</f>
        <v>4</v>
      </c>
      <c r="H4" t="s">
        <v>27</v>
      </c>
      <c r="I4">
        <v>3</v>
      </c>
      <c r="J4">
        <v>7</v>
      </c>
    </row>
    <row r="5" spans="1:13" ht="60">
      <c r="A5" s="9" t="s">
        <v>33</v>
      </c>
      <c r="B5" s="9" t="s">
        <v>14</v>
      </c>
      <c r="C5" s="1" t="s">
        <v>34</v>
      </c>
      <c r="D5" s="1" t="s">
        <v>24</v>
      </c>
      <c r="E5" s="1" t="s">
        <v>35</v>
      </c>
      <c r="F5" s="1" t="s">
        <v>36</v>
      </c>
      <c r="G5">
        <f>COUNTIF(Attributes!A:A,objects!A5)</f>
        <v>9</v>
      </c>
      <c r="H5" t="s">
        <v>27</v>
      </c>
      <c r="I5">
        <v>4</v>
      </c>
      <c r="J5">
        <v>300</v>
      </c>
    </row>
    <row r="6" spans="1:13" ht="60">
      <c r="A6" s="7" t="s">
        <v>37</v>
      </c>
      <c r="B6" s="7" t="s">
        <v>14</v>
      </c>
      <c r="C6" s="1" t="s">
        <v>38</v>
      </c>
      <c r="D6" s="1" t="s">
        <v>39</v>
      </c>
      <c r="E6" s="1" t="s">
        <v>40</v>
      </c>
      <c r="F6" s="1" t="s">
        <v>41</v>
      </c>
      <c r="G6">
        <f>COUNTIF(Attributes!A:A,objects!A6)</f>
        <v>8</v>
      </c>
      <c r="H6" t="s">
        <v>27</v>
      </c>
      <c r="I6">
        <v>5</v>
      </c>
      <c r="J6">
        <v>100</v>
      </c>
    </row>
    <row r="7" spans="1:13" ht="105">
      <c r="A7" s="34" t="s">
        <v>42</v>
      </c>
      <c r="B7" s="7" t="s">
        <v>14</v>
      </c>
      <c r="C7" s="1" t="s">
        <v>43</v>
      </c>
      <c r="D7" s="1" t="s">
        <v>44</v>
      </c>
      <c r="E7" s="1" t="s">
        <v>45</v>
      </c>
      <c r="F7" s="5" t="s">
        <v>46</v>
      </c>
      <c r="G7">
        <f>COUNTIF(Attributes!A:A,objects!A7)</f>
        <v>18</v>
      </c>
      <c r="H7" t="s">
        <v>19</v>
      </c>
      <c r="I7">
        <v>15</v>
      </c>
      <c r="J7">
        <v>10000</v>
      </c>
    </row>
    <row r="8" spans="1:13" ht="105">
      <c r="A8" s="34" t="s">
        <v>47</v>
      </c>
      <c r="B8" s="7" t="s">
        <v>14</v>
      </c>
      <c r="C8" s="1" t="s">
        <v>48</v>
      </c>
      <c r="D8" s="1" t="s">
        <v>49</v>
      </c>
      <c r="E8" s="1" t="s">
        <v>50</v>
      </c>
      <c r="F8" s="1" t="s">
        <v>51</v>
      </c>
      <c r="G8">
        <f>COUNTIF(Attributes!A:A,objects!A8)</f>
        <v>10</v>
      </c>
      <c r="H8" t="s">
        <v>19</v>
      </c>
      <c r="I8">
        <v>17</v>
      </c>
      <c r="J8">
        <v>500000</v>
      </c>
    </row>
    <row r="9" spans="1:13" ht="30">
      <c r="A9" s="7" t="s">
        <v>52</v>
      </c>
      <c r="B9" s="7" t="s">
        <v>53</v>
      </c>
      <c r="C9" s="1" t="s">
        <v>54</v>
      </c>
      <c r="D9" s="1" t="s">
        <v>55</v>
      </c>
      <c r="E9" s="1" t="s">
        <v>56</v>
      </c>
      <c r="F9" s="1" t="s">
        <v>57</v>
      </c>
      <c r="G9">
        <f>COUNTIF(Attributes!A:A,objects!A9)</f>
        <v>9</v>
      </c>
      <c r="H9" t="s">
        <v>27</v>
      </c>
      <c r="I9">
        <v>18</v>
      </c>
    </row>
    <row r="10" spans="1:13" ht="75">
      <c r="A10" s="34" t="s">
        <v>58</v>
      </c>
      <c r="B10" s="7" t="s">
        <v>14</v>
      </c>
      <c r="C10" s="1" t="s">
        <v>59</v>
      </c>
      <c r="D10" s="1" t="s">
        <v>60</v>
      </c>
      <c r="E10" s="1" t="s">
        <v>61</v>
      </c>
      <c r="F10" s="1" t="s">
        <v>62</v>
      </c>
      <c r="G10">
        <f>COUNTIF(Attributes!A:A,objects!A10)</f>
        <v>5</v>
      </c>
      <c r="H10" t="s">
        <v>19</v>
      </c>
      <c r="I10">
        <v>7</v>
      </c>
      <c r="J10">
        <v>5000</v>
      </c>
    </row>
    <row r="11" spans="1:13" ht="120">
      <c r="A11" s="34" t="s">
        <v>63</v>
      </c>
      <c r="B11" s="7" t="s">
        <v>14</v>
      </c>
      <c r="C11" s="1" t="s">
        <v>64</v>
      </c>
      <c r="D11" s="1" t="s">
        <v>65</v>
      </c>
      <c r="E11" s="1" t="s">
        <v>66</v>
      </c>
      <c r="F11" s="1" t="s">
        <v>67</v>
      </c>
      <c r="G11">
        <f>COUNTIF(Attributes!A:A,objects!A11)</f>
        <v>8</v>
      </c>
      <c r="H11" t="s">
        <v>19</v>
      </c>
      <c r="I11">
        <v>6</v>
      </c>
      <c r="J11">
        <v>3000</v>
      </c>
    </row>
    <row r="12" spans="1:13" ht="60">
      <c r="A12" s="37" t="s">
        <v>68</v>
      </c>
      <c r="B12" s="7" t="s">
        <v>14</v>
      </c>
      <c r="C12" s="1" t="s">
        <v>69</v>
      </c>
      <c r="D12" s="1" t="s">
        <v>70</v>
      </c>
      <c r="E12" s="1" t="s">
        <v>71</v>
      </c>
      <c r="F12" s="1" t="s">
        <v>72</v>
      </c>
      <c r="G12">
        <f>COUNTIF(Attributes!A:A,objects!A12)</f>
        <v>5</v>
      </c>
      <c r="H12" t="s">
        <v>27</v>
      </c>
      <c r="I12">
        <v>8</v>
      </c>
    </row>
    <row r="13" spans="1:13" ht="45">
      <c r="A13" s="34" t="s">
        <v>73</v>
      </c>
      <c r="B13" s="7" t="s">
        <v>14</v>
      </c>
      <c r="C13" s="1" t="s">
        <v>74</v>
      </c>
      <c r="D13" s="1" t="s">
        <v>75</v>
      </c>
      <c r="E13" s="1" t="s">
        <v>76</v>
      </c>
      <c r="F13" s="1" t="s">
        <v>77</v>
      </c>
      <c r="G13">
        <f>COUNTIF(Attributes!A:A,objects!A13)</f>
        <v>24</v>
      </c>
      <c r="H13" t="s">
        <v>19</v>
      </c>
      <c r="I13">
        <v>9</v>
      </c>
      <c r="J13">
        <v>7000</v>
      </c>
    </row>
    <row r="14" spans="1:13" ht="105">
      <c r="A14" s="34" t="s">
        <v>78</v>
      </c>
      <c r="B14" s="7" t="s">
        <v>14</v>
      </c>
      <c r="C14" s="1" t="s">
        <v>79</v>
      </c>
      <c r="D14" s="1" t="s">
        <v>75</v>
      </c>
      <c r="E14" s="1" t="s">
        <v>76</v>
      </c>
      <c r="F14" s="1" t="s">
        <v>80</v>
      </c>
      <c r="G14">
        <f>COUNTIF(Attributes!A:A,objects!A14)</f>
        <v>0</v>
      </c>
      <c r="H14" t="s">
        <v>81</v>
      </c>
      <c r="I14">
        <v>10</v>
      </c>
    </row>
    <row r="15" spans="1:13" ht="60">
      <c r="A15" s="7" t="s">
        <v>82</v>
      </c>
      <c r="B15" s="7" t="s">
        <v>83</v>
      </c>
      <c r="C15" s="1" t="s">
        <v>84</v>
      </c>
      <c r="D15" s="1" t="s">
        <v>75</v>
      </c>
      <c r="E15" s="1" t="s">
        <v>76</v>
      </c>
      <c r="F15" s="1" t="s">
        <v>85</v>
      </c>
      <c r="G15">
        <f>COUNTIF(Attributes!A:A,objects!A15)</f>
        <v>11</v>
      </c>
      <c r="H15" t="s">
        <v>81</v>
      </c>
      <c r="I15">
        <v>11</v>
      </c>
    </row>
    <row r="16" spans="1:13" ht="45">
      <c r="A16" s="7" t="s">
        <v>86</v>
      </c>
      <c r="B16" s="7" t="s">
        <v>83</v>
      </c>
      <c r="C16" s="1" t="s">
        <v>87</v>
      </c>
      <c r="D16" s="1" t="s">
        <v>75</v>
      </c>
      <c r="E16" s="1" t="s">
        <v>76</v>
      </c>
      <c r="F16" s="1" t="s">
        <v>88</v>
      </c>
      <c r="G16">
        <f>COUNTIF(Attributes!A:A,objects!A16)</f>
        <v>0</v>
      </c>
      <c r="H16" t="s">
        <v>81</v>
      </c>
      <c r="I16">
        <v>12</v>
      </c>
    </row>
    <row r="17" spans="1:9" ht="60">
      <c r="A17" s="3" t="s">
        <v>89</v>
      </c>
      <c r="B17" s="3" t="s">
        <v>90</v>
      </c>
      <c r="C17" s="5" t="s">
        <v>91</v>
      </c>
      <c r="D17" s="5" t="s">
        <v>92</v>
      </c>
      <c r="E17" s="5" t="s">
        <v>93</v>
      </c>
      <c r="F17" s="6" t="s">
        <v>94</v>
      </c>
      <c r="G17">
        <f>COUNTIF(Attributes!A:A,objects!A17)</f>
        <v>4</v>
      </c>
      <c r="H17" t="s">
        <v>81</v>
      </c>
      <c r="I17">
        <v>14</v>
      </c>
    </row>
    <row r="18" spans="1:9" ht="75">
      <c r="A18" s="3" t="s">
        <v>95</v>
      </c>
      <c r="B18" s="3" t="s">
        <v>90</v>
      </c>
      <c r="C18" s="5" t="s">
        <v>96</v>
      </c>
      <c r="D18" s="5" t="s">
        <v>97</v>
      </c>
      <c r="E18" s="5" t="s">
        <v>98</v>
      </c>
      <c r="F18" s="5" t="s">
        <v>99</v>
      </c>
      <c r="G18">
        <f>COUNTIF(Attributes!A:A,objects!A18)</f>
        <v>0</v>
      </c>
      <c r="H18" t="s">
        <v>81</v>
      </c>
      <c r="I18">
        <v>13</v>
      </c>
    </row>
    <row r="19" spans="1:9" ht="45">
      <c r="A19" s="3" t="s">
        <v>100</v>
      </c>
      <c r="B19" t="s">
        <v>14</v>
      </c>
      <c r="C19" s="16" t="s">
        <v>101</v>
      </c>
      <c r="D19" s="16" t="s">
        <v>102</v>
      </c>
      <c r="E19" s="16" t="s">
        <v>103</v>
      </c>
      <c r="F19" s="16" t="s">
        <v>104</v>
      </c>
      <c r="H19" t="s">
        <v>27</v>
      </c>
      <c r="I19">
        <v>0</v>
      </c>
    </row>
    <row r="20" spans="1:9" ht="45">
      <c r="A20" s="3" t="s">
        <v>105</v>
      </c>
      <c r="B20" t="s">
        <v>53</v>
      </c>
      <c r="C20" s="16" t="s">
        <v>106</v>
      </c>
      <c r="D20" s="16" t="s">
        <v>107</v>
      </c>
      <c r="E20" s="16" t="s">
        <v>108</v>
      </c>
      <c r="F20" s="16" t="s">
        <v>109</v>
      </c>
      <c r="H20" t="s">
        <v>27</v>
      </c>
      <c r="I2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AD4F9-4E3A-41DA-9532-E435FAC78061}">
  <dimension ref="A1:J164"/>
  <sheetViews>
    <sheetView tabSelected="1" zoomScale="115" zoomScaleNormal="115" workbookViewId="0">
      <pane xSplit="2" ySplit="1" topLeftCell="E38" activePane="bottomRight" state="frozen"/>
      <selection pane="bottomRight" activeCell="F139" sqref="F139"/>
      <selection pane="bottomLeft" activeCell="A2" sqref="A2"/>
      <selection pane="topRight" activeCell="C1" sqref="C1"/>
    </sheetView>
  </sheetViews>
  <sheetFormatPr defaultRowHeight="15"/>
  <cols>
    <col min="1" max="1" width="38" customWidth="1"/>
    <col min="2" max="2" width="35.5703125" bestFit="1" customWidth="1"/>
    <col min="3" max="3" width="136" style="1" bestFit="1" customWidth="1"/>
    <col min="4" max="4" width="36.5703125" bestFit="1" customWidth="1"/>
    <col min="5" max="5" width="46.85546875" bestFit="1" customWidth="1"/>
    <col min="6" max="6" width="30.7109375" customWidth="1"/>
    <col min="7" max="7" width="96.5703125" style="16" customWidth="1"/>
    <col min="8" max="8" width="12.42578125" bestFit="1" customWidth="1"/>
    <col min="9" max="9" width="19.7109375" bestFit="1" customWidth="1"/>
    <col min="10" max="10" width="34" bestFit="1" customWidth="1"/>
  </cols>
  <sheetData>
    <row r="1" spans="1:10">
      <c r="A1" s="3" t="s">
        <v>110</v>
      </c>
      <c r="B1" s="3" t="s">
        <v>0</v>
      </c>
      <c r="C1" s="2" t="s">
        <v>2</v>
      </c>
      <c r="D1" s="3" t="s">
        <v>111</v>
      </c>
      <c r="E1" s="3" t="s">
        <v>112</v>
      </c>
      <c r="F1" s="3" t="s">
        <v>113</v>
      </c>
      <c r="G1" s="24" t="s">
        <v>114</v>
      </c>
      <c r="H1" t="s">
        <v>115</v>
      </c>
      <c r="I1" t="s">
        <v>116</v>
      </c>
      <c r="J1" t="s">
        <v>117</v>
      </c>
    </row>
    <row r="2" spans="1:10" hidden="1">
      <c r="A2" s="36" t="s">
        <v>52</v>
      </c>
      <c r="B2" s="36" t="s">
        <v>118</v>
      </c>
      <c r="C2" s="36" t="s">
        <v>119</v>
      </c>
      <c r="F2" t="s">
        <v>120</v>
      </c>
    </row>
    <row r="3" spans="1:10" hidden="1">
      <c r="A3" s="36" t="s">
        <v>52</v>
      </c>
      <c r="B3" s="36" t="s">
        <v>121</v>
      </c>
      <c r="C3" s="36" t="s">
        <v>122</v>
      </c>
      <c r="F3" t="s">
        <v>123</v>
      </c>
    </row>
    <row r="4" spans="1:10" hidden="1">
      <c r="A4" s="36" t="s">
        <v>52</v>
      </c>
      <c r="B4" s="36" t="s">
        <v>124</v>
      </c>
      <c r="C4" s="36" t="s">
        <v>125</v>
      </c>
      <c r="F4" t="s">
        <v>126</v>
      </c>
    </row>
    <row r="5" spans="1:10" hidden="1">
      <c r="A5" s="36" t="s">
        <v>52</v>
      </c>
      <c r="B5" s="36" t="s">
        <v>127</v>
      </c>
      <c r="C5" s="36" t="s">
        <v>128</v>
      </c>
      <c r="F5" t="s">
        <v>129</v>
      </c>
    </row>
    <row r="6" spans="1:10" hidden="1">
      <c r="A6" s="36" t="s">
        <v>52</v>
      </c>
      <c r="B6" s="36" t="s">
        <v>130</v>
      </c>
      <c r="C6" s="36" t="s">
        <v>131</v>
      </c>
      <c r="F6" t="s">
        <v>132</v>
      </c>
    </row>
    <row r="7" spans="1:10" hidden="1">
      <c r="A7" s="36" t="s">
        <v>52</v>
      </c>
      <c r="B7" s="36" t="s">
        <v>133</v>
      </c>
      <c r="C7" s="36" t="s">
        <v>134</v>
      </c>
      <c r="F7" t="s">
        <v>135</v>
      </c>
    </row>
    <row r="8" spans="1:10" hidden="1">
      <c r="A8" s="36" t="s">
        <v>52</v>
      </c>
      <c r="B8" s="36" t="s">
        <v>136</v>
      </c>
      <c r="C8" s="36" t="s">
        <v>137</v>
      </c>
      <c r="F8" t="s">
        <v>138</v>
      </c>
    </row>
    <row r="9" spans="1:10" ht="107.25" hidden="1" customHeight="1">
      <c r="A9" s="36" t="s">
        <v>52</v>
      </c>
      <c r="B9" s="36" t="s">
        <v>139</v>
      </c>
      <c r="C9" s="36" t="s">
        <v>140</v>
      </c>
      <c r="F9" t="s">
        <v>129</v>
      </c>
      <c r="G9" s="16" t="s">
        <v>141</v>
      </c>
    </row>
    <row r="10" spans="1:10" hidden="1">
      <c r="A10" s="36" t="s">
        <v>52</v>
      </c>
      <c r="B10" s="36" t="s">
        <v>142</v>
      </c>
      <c r="C10" s="36" t="s">
        <v>143</v>
      </c>
      <c r="F10" t="s">
        <v>144</v>
      </c>
    </row>
    <row r="11" spans="1:10" hidden="1">
      <c r="A11" t="s">
        <v>89</v>
      </c>
      <c r="B11" t="s">
        <v>145</v>
      </c>
      <c r="C11" t="s">
        <v>146</v>
      </c>
      <c r="F11" t="s">
        <v>147</v>
      </c>
    </row>
    <row r="12" spans="1:10" hidden="1">
      <c r="A12" t="s">
        <v>89</v>
      </c>
      <c r="B12" t="s">
        <v>118</v>
      </c>
      <c r="C12" t="s">
        <v>148</v>
      </c>
      <c r="F12" t="s">
        <v>149</v>
      </c>
    </row>
    <row r="13" spans="1:10" hidden="1">
      <c r="A13" t="s">
        <v>89</v>
      </c>
      <c r="B13" t="s">
        <v>150</v>
      </c>
      <c r="C13" t="s">
        <v>151</v>
      </c>
      <c r="F13" t="s">
        <v>149</v>
      </c>
    </row>
    <row r="14" spans="1:10" hidden="1">
      <c r="A14" t="s">
        <v>89</v>
      </c>
      <c r="B14" t="s">
        <v>152</v>
      </c>
      <c r="C14" t="s">
        <v>153</v>
      </c>
      <c r="F14" t="s">
        <v>154</v>
      </c>
      <c r="G14" s="16">
        <v>0.05</v>
      </c>
    </row>
    <row r="15" spans="1:10" hidden="1">
      <c r="A15" t="s">
        <v>155</v>
      </c>
      <c r="B15" t="s">
        <v>150</v>
      </c>
      <c r="C15" t="s">
        <v>156</v>
      </c>
      <c r="F15" t="s">
        <v>147</v>
      </c>
    </row>
    <row r="16" spans="1:10" hidden="1">
      <c r="A16" t="s">
        <v>155</v>
      </c>
      <c r="B16" t="s">
        <v>157</v>
      </c>
      <c r="C16" t="s">
        <v>158</v>
      </c>
      <c r="F16" t="s">
        <v>159</v>
      </c>
      <c r="G16" s="16" t="s">
        <v>160</v>
      </c>
    </row>
    <row r="17" spans="1:7" hidden="1">
      <c r="A17" t="s">
        <v>155</v>
      </c>
      <c r="B17" t="s">
        <v>161</v>
      </c>
      <c r="C17" t="s">
        <v>162</v>
      </c>
      <c r="F17" t="s">
        <v>163</v>
      </c>
    </row>
    <row r="18" spans="1:7" hidden="1">
      <c r="A18" t="s">
        <v>155</v>
      </c>
      <c r="B18" t="s">
        <v>164</v>
      </c>
      <c r="C18" t="s">
        <v>165</v>
      </c>
      <c r="F18" t="s">
        <v>163</v>
      </c>
    </row>
    <row r="19" spans="1:7" hidden="1">
      <c r="A19" t="s">
        <v>155</v>
      </c>
      <c r="B19" t="s">
        <v>166</v>
      </c>
      <c r="C19" t="s">
        <v>167</v>
      </c>
      <c r="F19" t="s">
        <v>129</v>
      </c>
    </row>
    <row r="20" spans="1:7" ht="45" hidden="1">
      <c r="A20" t="s">
        <v>155</v>
      </c>
      <c r="B20" t="s">
        <v>168</v>
      </c>
      <c r="C20" s="5" t="s">
        <v>169</v>
      </c>
      <c r="D20" s="4" t="s">
        <v>170</v>
      </c>
      <c r="E20" s="6" t="s">
        <v>171</v>
      </c>
      <c r="F20" t="s">
        <v>129</v>
      </c>
      <c r="G20" s="6" t="s">
        <v>172</v>
      </c>
    </row>
    <row r="21" spans="1:7" hidden="1">
      <c r="A21" t="s">
        <v>155</v>
      </c>
      <c r="B21" t="s">
        <v>173</v>
      </c>
      <c r="C21" t="s">
        <v>174</v>
      </c>
      <c r="F21" t="s">
        <v>129</v>
      </c>
      <c r="G21" s="6" t="s">
        <v>175</v>
      </c>
    </row>
    <row r="22" spans="1:7" hidden="1">
      <c r="A22" t="s">
        <v>155</v>
      </c>
      <c r="B22" t="s">
        <v>176</v>
      </c>
      <c r="C22" t="s">
        <v>177</v>
      </c>
      <c r="F22" t="s">
        <v>159</v>
      </c>
      <c r="G22" s="16" t="s">
        <v>178</v>
      </c>
    </row>
    <row r="23" spans="1:7" hidden="1">
      <c r="A23" t="s">
        <v>13</v>
      </c>
      <c r="B23" t="s">
        <v>179</v>
      </c>
      <c r="C23" t="s">
        <v>180</v>
      </c>
      <c r="F23" t="s">
        <v>147</v>
      </c>
    </row>
    <row r="24" spans="1:7" hidden="1">
      <c r="A24" t="s">
        <v>13</v>
      </c>
      <c r="B24" t="s">
        <v>181</v>
      </c>
      <c r="C24" t="s">
        <v>182</v>
      </c>
      <c r="F24" t="s">
        <v>159</v>
      </c>
    </row>
    <row r="25" spans="1:7" hidden="1">
      <c r="A25" t="s">
        <v>13</v>
      </c>
      <c r="B25" t="s">
        <v>183</v>
      </c>
      <c r="C25" t="s">
        <v>184</v>
      </c>
      <c r="F25" t="s">
        <v>163</v>
      </c>
    </row>
    <row r="26" spans="1:7" hidden="1">
      <c r="A26" t="s">
        <v>13</v>
      </c>
      <c r="B26" t="s">
        <v>185</v>
      </c>
      <c r="C26" t="s">
        <v>186</v>
      </c>
      <c r="F26" t="s">
        <v>163</v>
      </c>
    </row>
    <row r="27" spans="1:7" hidden="1">
      <c r="A27" t="s">
        <v>13</v>
      </c>
      <c r="B27" t="s">
        <v>187</v>
      </c>
      <c r="C27" t="s">
        <v>188</v>
      </c>
      <c r="F27" t="s">
        <v>163</v>
      </c>
    </row>
    <row r="28" spans="1:7" hidden="1">
      <c r="A28" t="s">
        <v>13</v>
      </c>
      <c r="B28" t="s">
        <v>189</v>
      </c>
      <c r="C28" t="s">
        <v>190</v>
      </c>
      <c r="D28" t="s">
        <v>191</v>
      </c>
      <c r="E28" t="s">
        <v>192</v>
      </c>
    </row>
    <row r="29" spans="1:7" hidden="1">
      <c r="A29" t="s">
        <v>13</v>
      </c>
      <c r="B29" t="s">
        <v>193</v>
      </c>
      <c r="C29" t="s">
        <v>194</v>
      </c>
      <c r="F29" t="s">
        <v>195</v>
      </c>
    </row>
    <row r="30" spans="1:7" hidden="1">
      <c r="A30" t="s">
        <v>13</v>
      </c>
      <c r="B30" t="s">
        <v>196</v>
      </c>
      <c r="C30" t="s">
        <v>197</v>
      </c>
      <c r="D30" t="s">
        <v>198</v>
      </c>
      <c r="E30" t="s">
        <v>199</v>
      </c>
      <c r="F30" t="s">
        <v>200</v>
      </c>
    </row>
    <row r="31" spans="1:7" hidden="1">
      <c r="A31" t="s">
        <v>13</v>
      </c>
      <c r="B31" t="s">
        <v>201</v>
      </c>
      <c r="C31" t="s">
        <v>202</v>
      </c>
    </row>
    <row r="32" spans="1:7" hidden="1">
      <c r="A32" t="s">
        <v>13</v>
      </c>
      <c r="B32" t="s">
        <v>203</v>
      </c>
      <c r="C32" t="s">
        <v>204</v>
      </c>
    </row>
    <row r="33" spans="1:7" hidden="1">
      <c r="A33" t="s">
        <v>13</v>
      </c>
      <c r="B33" t="s">
        <v>205</v>
      </c>
      <c r="C33" t="s">
        <v>206</v>
      </c>
      <c r="D33" t="s">
        <v>207</v>
      </c>
      <c r="E33" t="s">
        <v>208</v>
      </c>
    </row>
    <row r="34" spans="1:7" ht="60" hidden="1">
      <c r="A34" t="s">
        <v>13</v>
      </c>
      <c r="B34" t="s">
        <v>209</v>
      </c>
      <c r="C34" t="s">
        <v>210</v>
      </c>
      <c r="D34" t="s">
        <v>211</v>
      </c>
      <c r="E34" t="s">
        <v>212</v>
      </c>
      <c r="G34" s="16" t="s">
        <v>213</v>
      </c>
    </row>
    <row r="35" spans="1:7" hidden="1">
      <c r="A35" t="s">
        <v>13</v>
      </c>
      <c r="B35" t="s">
        <v>214</v>
      </c>
      <c r="C35" t="s">
        <v>215</v>
      </c>
      <c r="G35" s="16" t="s">
        <v>216</v>
      </c>
    </row>
    <row r="36" spans="1:7" hidden="1">
      <c r="A36" t="s">
        <v>13</v>
      </c>
      <c r="B36" t="s">
        <v>217</v>
      </c>
      <c r="C36" t="s">
        <v>218</v>
      </c>
    </row>
    <row r="37" spans="1:7" hidden="1">
      <c r="A37" t="s">
        <v>13</v>
      </c>
      <c r="B37" t="s">
        <v>219</v>
      </c>
      <c r="C37" t="s">
        <v>218</v>
      </c>
    </row>
    <row r="38" spans="1:7">
      <c r="A38" t="s">
        <v>13</v>
      </c>
      <c r="B38" t="s">
        <v>220</v>
      </c>
      <c r="C38" t="s">
        <v>221</v>
      </c>
      <c r="F38" t="s">
        <v>222</v>
      </c>
    </row>
    <row r="39" spans="1:7" ht="135" hidden="1">
      <c r="A39" t="s">
        <v>13</v>
      </c>
      <c r="B39" t="s">
        <v>223</v>
      </c>
      <c r="C39" t="s">
        <v>224</v>
      </c>
      <c r="G39" s="6" t="s">
        <v>225</v>
      </c>
    </row>
    <row r="40" spans="1:7" hidden="1">
      <c r="A40" t="s">
        <v>13</v>
      </c>
      <c r="B40" t="s">
        <v>226</v>
      </c>
      <c r="C40" t="s">
        <v>227</v>
      </c>
    </row>
    <row r="41" spans="1:7" hidden="1">
      <c r="A41" t="s">
        <v>21</v>
      </c>
      <c r="B41" t="s">
        <v>228</v>
      </c>
      <c r="C41" t="s">
        <v>229</v>
      </c>
      <c r="D41" t="s">
        <v>230</v>
      </c>
      <c r="F41" t="s">
        <v>147</v>
      </c>
    </row>
    <row r="42" spans="1:7" hidden="1">
      <c r="A42" t="s">
        <v>21</v>
      </c>
      <c r="B42" t="s">
        <v>231</v>
      </c>
      <c r="C42" t="s">
        <v>232</v>
      </c>
      <c r="E42" t="s">
        <v>233</v>
      </c>
      <c r="F42" t="s">
        <v>159</v>
      </c>
    </row>
    <row r="43" spans="1:7" ht="45" hidden="1">
      <c r="A43" t="s">
        <v>21</v>
      </c>
      <c r="B43" t="s">
        <v>234</v>
      </c>
      <c r="C43" t="s">
        <v>235</v>
      </c>
      <c r="E43" t="s">
        <v>233</v>
      </c>
      <c r="F43" t="s">
        <v>236</v>
      </c>
      <c r="G43" s="16" t="s">
        <v>237</v>
      </c>
    </row>
    <row r="44" spans="1:7" ht="75" hidden="1">
      <c r="A44" t="s">
        <v>21</v>
      </c>
      <c r="B44" t="s">
        <v>238</v>
      </c>
      <c r="C44" t="s">
        <v>239</v>
      </c>
      <c r="F44" t="s">
        <v>236</v>
      </c>
      <c r="G44" s="16" t="s">
        <v>240</v>
      </c>
    </row>
    <row r="45" spans="1:7" ht="45" hidden="1">
      <c r="A45" t="s">
        <v>21</v>
      </c>
      <c r="B45" t="s">
        <v>241</v>
      </c>
      <c r="C45" t="s">
        <v>242</v>
      </c>
      <c r="F45" t="s">
        <v>236</v>
      </c>
      <c r="G45" s="16" t="s">
        <v>243</v>
      </c>
    </row>
    <row r="46" spans="1:7" hidden="1">
      <c r="A46" t="s">
        <v>47</v>
      </c>
      <c r="B46" t="s">
        <v>124</v>
      </c>
      <c r="C46" t="s">
        <v>244</v>
      </c>
    </row>
    <row r="47" spans="1:7" hidden="1">
      <c r="A47" t="s">
        <v>47</v>
      </c>
      <c r="B47" t="s">
        <v>241</v>
      </c>
      <c r="C47" t="s">
        <v>245</v>
      </c>
    </row>
    <row r="48" spans="1:7" hidden="1">
      <c r="A48" t="s">
        <v>47</v>
      </c>
      <c r="B48" t="s">
        <v>246</v>
      </c>
      <c r="C48" t="s">
        <v>247</v>
      </c>
    </row>
    <row r="49" spans="1:10" ht="27" hidden="1">
      <c r="A49" t="s">
        <v>47</v>
      </c>
      <c r="B49" t="s">
        <v>248</v>
      </c>
      <c r="C49" t="s">
        <v>249</v>
      </c>
      <c r="F49" t="s">
        <v>250</v>
      </c>
      <c r="G49" s="38" t="s">
        <v>251</v>
      </c>
    </row>
    <row r="50" spans="1:10" hidden="1">
      <c r="A50" t="s">
        <v>47</v>
      </c>
      <c r="B50" t="s">
        <v>252</v>
      </c>
      <c r="C50" t="s">
        <v>253</v>
      </c>
    </row>
    <row r="51" spans="1:10" hidden="1">
      <c r="A51" t="s">
        <v>47</v>
      </c>
      <c r="B51" t="s">
        <v>121</v>
      </c>
      <c r="C51" t="s">
        <v>254</v>
      </c>
      <c r="F51" t="s">
        <v>123</v>
      </c>
      <c r="J51" t="s">
        <v>255</v>
      </c>
    </row>
    <row r="52" spans="1:10" hidden="1">
      <c r="A52" t="s">
        <v>47</v>
      </c>
      <c r="B52" t="s">
        <v>256</v>
      </c>
      <c r="C52" t="s">
        <v>257</v>
      </c>
      <c r="F52" t="s">
        <v>138</v>
      </c>
      <c r="J52" t="s">
        <v>255</v>
      </c>
    </row>
    <row r="53" spans="1:10" hidden="1">
      <c r="A53" t="s">
        <v>47</v>
      </c>
      <c r="B53" t="s">
        <v>258</v>
      </c>
      <c r="C53" t="s">
        <v>259</v>
      </c>
      <c r="F53" t="s">
        <v>135</v>
      </c>
    </row>
    <row r="54" spans="1:10" hidden="1">
      <c r="A54" t="s">
        <v>47</v>
      </c>
      <c r="B54" t="s">
        <v>260</v>
      </c>
      <c r="C54" t="s">
        <v>261</v>
      </c>
      <c r="G54" s="16" t="s">
        <v>262</v>
      </c>
    </row>
    <row r="55" spans="1:10" hidden="1">
      <c r="A55" t="s">
        <v>47</v>
      </c>
      <c r="B55" t="s">
        <v>263</v>
      </c>
      <c r="C55" t="s">
        <v>264</v>
      </c>
    </row>
    <row r="56" spans="1:10" hidden="1">
      <c r="A56" t="s">
        <v>33</v>
      </c>
      <c r="B56" t="s">
        <v>265</v>
      </c>
      <c r="C56" s="1" t="s">
        <v>266</v>
      </c>
    </row>
    <row r="57" spans="1:10" hidden="1">
      <c r="A57" s="4" t="s">
        <v>33</v>
      </c>
      <c r="B57" t="s">
        <v>267</v>
      </c>
      <c r="C57" t="s">
        <v>268</v>
      </c>
    </row>
    <row r="58" spans="1:10" hidden="1">
      <c r="A58" s="4" t="s">
        <v>33</v>
      </c>
      <c r="B58" t="s">
        <v>269</v>
      </c>
      <c r="C58" t="s">
        <v>270</v>
      </c>
    </row>
    <row r="59" spans="1:10" hidden="1">
      <c r="A59" s="4" t="s">
        <v>33</v>
      </c>
      <c r="B59" t="s">
        <v>231</v>
      </c>
      <c r="C59" t="s">
        <v>271</v>
      </c>
      <c r="D59" t="s">
        <v>207</v>
      </c>
      <c r="E59" t="s">
        <v>272</v>
      </c>
    </row>
    <row r="60" spans="1:10" hidden="1">
      <c r="A60" s="4" t="s">
        <v>33</v>
      </c>
      <c r="B60" t="s">
        <v>273</v>
      </c>
      <c r="C60" t="s">
        <v>274</v>
      </c>
    </row>
    <row r="61" spans="1:10" ht="60">
      <c r="A61" s="4" t="s">
        <v>33</v>
      </c>
      <c r="B61" t="s">
        <v>220</v>
      </c>
      <c r="C61" s="6" t="s">
        <v>275</v>
      </c>
      <c r="D61" s="6" t="s">
        <v>276</v>
      </c>
      <c r="E61" s="6" t="s">
        <v>277</v>
      </c>
      <c r="F61" t="s">
        <v>222</v>
      </c>
      <c r="J61" t="s">
        <v>278</v>
      </c>
    </row>
    <row r="62" spans="1:10" hidden="1">
      <c r="A62" s="4" t="s">
        <v>33</v>
      </c>
      <c r="B62" t="s">
        <v>279</v>
      </c>
      <c r="C62" s="1" t="s">
        <v>280</v>
      </c>
      <c r="D62" s="6"/>
      <c r="E62" s="6"/>
    </row>
    <row r="63" spans="1:10" hidden="1">
      <c r="A63" s="4" t="s">
        <v>33</v>
      </c>
      <c r="B63" t="s">
        <v>281</v>
      </c>
      <c r="C63" s="1" t="s">
        <v>282</v>
      </c>
      <c r="D63" s="6"/>
      <c r="E63" s="6"/>
    </row>
    <row r="64" spans="1:10" hidden="1">
      <c r="A64" s="4" t="s">
        <v>33</v>
      </c>
      <c r="B64" t="s">
        <v>283</v>
      </c>
      <c r="C64" s="1" t="s">
        <v>284</v>
      </c>
      <c r="D64" s="6"/>
      <c r="E64" s="6"/>
    </row>
    <row r="65" spans="1:10" hidden="1">
      <c r="A65" t="s">
        <v>73</v>
      </c>
      <c r="B65" t="s">
        <v>285</v>
      </c>
      <c r="C65" t="s">
        <v>286</v>
      </c>
    </row>
    <row r="66" spans="1:10" hidden="1">
      <c r="A66" t="s">
        <v>73</v>
      </c>
      <c r="B66" t="s">
        <v>231</v>
      </c>
      <c r="C66" t="s">
        <v>287</v>
      </c>
      <c r="J66" t="s">
        <v>278</v>
      </c>
    </row>
    <row r="67" spans="1:10">
      <c r="A67" t="s">
        <v>73</v>
      </c>
      <c r="B67" t="s">
        <v>220</v>
      </c>
      <c r="C67" t="s">
        <v>288</v>
      </c>
      <c r="F67" t="s">
        <v>289</v>
      </c>
    </row>
    <row r="68" spans="1:10" hidden="1">
      <c r="A68" t="s">
        <v>73</v>
      </c>
      <c r="B68" t="s">
        <v>290</v>
      </c>
      <c r="C68" t="s">
        <v>291</v>
      </c>
      <c r="F68" t="s">
        <v>292</v>
      </c>
      <c r="G68" s="16" t="s">
        <v>293</v>
      </c>
    </row>
    <row r="69" spans="1:10" ht="45" hidden="1">
      <c r="A69" t="s">
        <v>73</v>
      </c>
      <c r="B69" t="s">
        <v>294</v>
      </c>
      <c r="C69" t="s">
        <v>295</v>
      </c>
      <c r="F69" t="s">
        <v>292</v>
      </c>
      <c r="G69" s="16" t="s">
        <v>296</v>
      </c>
    </row>
    <row r="70" spans="1:10" hidden="1">
      <c r="A70" t="s">
        <v>73</v>
      </c>
      <c r="B70" t="s">
        <v>297</v>
      </c>
      <c r="C70" t="s">
        <v>298</v>
      </c>
    </row>
    <row r="71" spans="1:10" hidden="1">
      <c r="A71" t="s">
        <v>73</v>
      </c>
      <c r="B71" t="s">
        <v>299</v>
      </c>
      <c r="C71" t="s">
        <v>300</v>
      </c>
    </row>
    <row r="72" spans="1:10" hidden="1">
      <c r="A72" t="s">
        <v>73</v>
      </c>
      <c r="B72" s="4" t="s">
        <v>301</v>
      </c>
      <c r="C72"/>
    </row>
    <row r="73" spans="1:10" hidden="1">
      <c r="A73" t="s">
        <v>73</v>
      </c>
      <c r="B73" s="4" t="s">
        <v>302</v>
      </c>
      <c r="C73"/>
    </row>
    <row r="74" spans="1:10" hidden="1">
      <c r="A74" t="s">
        <v>73</v>
      </c>
      <c r="B74" s="4" t="s">
        <v>303</v>
      </c>
      <c r="C74"/>
    </row>
    <row r="75" spans="1:10" hidden="1">
      <c r="A75" t="s">
        <v>73</v>
      </c>
      <c r="B75" s="4" t="s">
        <v>304</v>
      </c>
      <c r="C75"/>
    </row>
    <row r="76" spans="1:10" hidden="1">
      <c r="A76" s="4" t="s">
        <v>73</v>
      </c>
      <c r="B76" s="4" t="s">
        <v>305</v>
      </c>
      <c r="C76"/>
    </row>
    <row r="77" spans="1:10" hidden="1">
      <c r="A77" t="s">
        <v>73</v>
      </c>
      <c r="B77" t="s">
        <v>133</v>
      </c>
      <c r="C77" t="s">
        <v>306</v>
      </c>
      <c r="F77" t="s">
        <v>135</v>
      </c>
    </row>
    <row r="78" spans="1:10" hidden="1">
      <c r="A78" s="4" t="s">
        <v>73</v>
      </c>
      <c r="B78" s="4" t="s">
        <v>307</v>
      </c>
      <c r="C78" s="4" t="s">
        <v>308</v>
      </c>
      <c r="F78" t="s">
        <v>138</v>
      </c>
    </row>
    <row r="79" spans="1:10" hidden="1">
      <c r="A79" t="s">
        <v>73</v>
      </c>
      <c r="B79" t="s">
        <v>309</v>
      </c>
      <c r="C79" t="s">
        <v>310</v>
      </c>
    </row>
    <row r="80" spans="1:10" hidden="1">
      <c r="A80" t="s">
        <v>73</v>
      </c>
      <c r="B80" t="s">
        <v>311</v>
      </c>
      <c r="C80" s="4" t="s">
        <v>312</v>
      </c>
      <c r="F80" t="s">
        <v>126</v>
      </c>
    </row>
    <row r="81" spans="1:10" hidden="1">
      <c r="A81" t="s">
        <v>73</v>
      </c>
      <c r="B81" t="s">
        <v>313</v>
      </c>
      <c r="C81" t="s">
        <v>314</v>
      </c>
      <c r="F81" t="s">
        <v>315</v>
      </c>
      <c r="J81" t="s">
        <v>278</v>
      </c>
    </row>
    <row r="82" spans="1:10" hidden="1">
      <c r="A82" t="s">
        <v>73</v>
      </c>
      <c r="B82" t="s">
        <v>316</v>
      </c>
      <c r="C82" t="s">
        <v>317</v>
      </c>
    </row>
    <row r="83" spans="1:10" hidden="1">
      <c r="A83" t="s">
        <v>73</v>
      </c>
      <c r="B83" t="s">
        <v>318</v>
      </c>
      <c r="C83" t="s">
        <v>319</v>
      </c>
      <c r="F83" t="s">
        <v>320</v>
      </c>
    </row>
    <row r="84" spans="1:10" hidden="1">
      <c r="A84" s="4" t="s">
        <v>73</v>
      </c>
      <c r="B84" s="4" t="s">
        <v>321</v>
      </c>
      <c r="C84" s="4" t="s">
        <v>322</v>
      </c>
      <c r="J84" t="s">
        <v>278</v>
      </c>
    </row>
    <row r="85" spans="1:10">
      <c r="A85" s="4" t="s">
        <v>73</v>
      </c>
      <c r="B85" s="4" t="s">
        <v>323</v>
      </c>
      <c r="C85" s="4" t="s">
        <v>324</v>
      </c>
    </row>
    <row r="86" spans="1:10">
      <c r="A86" s="4" t="s">
        <v>73</v>
      </c>
      <c r="B86" s="4" t="s">
        <v>325</v>
      </c>
      <c r="C86" s="4"/>
    </row>
    <row r="87" spans="1:10" hidden="1">
      <c r="A87" s="4" t="s">
        <v>73</v>
      </c>
      <c r="B87" s="4" t="s">
        <v>326</v>
      </c>
      <c r="C87" s="4" t="s">
        <v>327</v>
      </c>
    </row>
    <row r="88" spans="1:10" hidden="1">
      <c r="A88" s="4" t="s">
        <v>73</v>
      </c>
      <c r="B88" s="4" t="s">
        <v>328</v>
      </c>
      <c r="C88" s="4" t="s">
        <v>329</v>
      </c>
    </row>
    <row r="89" spans="1:10" hidden="1">
      <c r="A89" t="s">
        <v>42</v>
      </c>
      <c r="B89" t="s">
        <v>330</v>
      </c>
      <c r="C89" t="s">
        <v>331</v>
      </c>
      <c r="D89" t="s">
        <v>332</v>
      </c>
    </row>
    <row r="90" spans="1:10" hidden="1">
      <c r="A90" t="s">
        <v>42</v>
      </c>
      <c r="B90" t="s">
        <v>179</v>
      </c>
      <c r="C90" t="s">
        <v>333</v>
      </c>
      <c r="F90" t="s">
        <v>334</v>
      </c>
    </row>
    <row r="91" spans="1:10" ht="45" hidden="1">
      <c r="A91" t="s">
        <v>42</v>
      </c>
      <c r="B91" t="s">
        <v>335</v>
      </c>
      <c r="C91" t="s">
        <v>336</v>
      </c>
      <c r="D91" t="s">
        <v>337</v>
      </c>
      <c r="E91" s="6" t="s">
        <v>338</v>
      </c>
      <c r="F91" t="s">
        <v>339</v>
      </c>
    </row>
    <row r="92" spans="1:10" hidden="1">
      <c r="A92" t="s">
        <v>42</v>
      </c>
      <c r="B92" t="s">
        <v>187</v>
      </c>
      <c r="C92" t="s">
        <v>340</v>
      </c>
    </row>
    <row r="93" spans="1:10" hidden="1">
      <c r="A93" t="s">
        <v>42</v>
      </c>
      <c r="B93" t="s">
        <v>341</v>
      </c>
      <c r="C93" t="s">
        <v>342</v>
      </c>
    </row>
    <row r="94" spans="1:10" hidden="1">
      <c r="A94" t="s">
        <v>42</v>
      </c>
      <c r="B94" t="s">
        <v>265</v>
      </c>
      <c r="C94" s="1" t="s">
        <v>343</v>
      </c>
    </row>
    <row r="95" spans="1:10" hidden="1">
      <c r="A95" t="s">
        <v>42</v>
      </c>
      <c r="B95" t="s">
        <v>231</v>
      </c>
      <c r="C95" t="s">
        <v>344</v>
      </c>
    </row>
    <row r="96" spans="1:10" hidden="1">
      <c r="A96" t="s">
        <v>42</v>
      </c>
      <c r="B96" t="s">
        <v>345</v>
      </c>
      <c r="C96" t="s">
        <v>346</v>
      </c>
      <c r="D96" t="s">
        <v>347</v>
      </c>
      <c r="E96" t="s">
        <v>348</v>
      </c>
    </row>
    <row r="97" spans="1:6" hidden="1">
      <c r="A97" t="s">
        <v>42</v>
      </c>
      <c r="B97" t="s">
        <v>349</v>
      </c>
      <c r="C97" t="s">
        <v>350</v>
      </c>
      <c r="D97" t="s">
        <v>347</v>
      </c>
      <c r="E97" t="s">
        <v>348</v>
      </c>
    </row>
    <row r="98" spans="1:6" hidden="1">
      <c r="A98" t="s">
        <v>42</v>
      </c>
      <c r="B98" t="s">
        <v>283</v>
      </c>
      <c r="C98" s="1" t="s">
        <v>284</v>
      </c>
    </row>
    <row r="99" spans="1:6" hidden="1">
      <c r="A99" t="s">
        <v>42</v>
      </c>
      <c r="B99" t="s">
        <v>281</v>
      </c>
      <c r="C99" s="1" t="s">
        <v>282</v>
      </c>
    </row>
    <row r="100" spans="1:6" hidden="1">
      <c r="A100" t="s">
        <v>42</v>
      </c>
      <c r="B100" t="s">
        <v>279</v>
      </c>
      <c r="C100" s="1" t="s">
        <v>280</v>
      </c>
    </row>
    <row r="101" spans="1:6" hidden="1">
      <c r="A101" t="s">
        <v>42</v>
      </c>
      <c r="B101" t="s">
        <v>185</v>
      </c>
      <c r="C101" t="s">
        <v>351</v>
      </c>
    </row>
    <row r="102" spans="1:6" hidden="1">
      <c r="A102" t="s">
        <v>42</v>
      </c>
      <c r="B102" t="s">
        <v>352</v>
      </c>
      <c r="C102" t="s">
        <v>353</v>
      </c>
    </row>
    <row r="103" spans="1:6" hidden="1">
      <c r="A103" t="s">
        <v>42</v>
      </c>
      <c r="B103" t="s">
        <v>354</v>
      </c>
      <c r="C103" t="s">
        <v>355</v>
      </c>
      <c r="D103" t="s">
        <v>207</v>
      </c>
    </row>
    <row r="104" spans="1:6" hidden="1">
      <c r="A104" t="s">
        <v>42</v>
      </c>
      <c r="B104" t="s">
        <v>356</v>
      </c>
      <c r="C104" t="s">
        <v>357</v>
      </c>
      <c r="F104" t="s">
        <v>135</v>
      </c>
    </row>
    <row r="105" spans="1:6" hidden="1">
      <c r="A105" t="s">
        <v>42</v>
      </c>
      <c r="B105" t="s">
        <v>358</v>
      </c>
      <c r="C105" t="s">
        <v>359</v>
      </c>
      <c r="F105" t="s">
        <v>138</v>
      </c>
    </row>
    <row r="106" spans="1:6" hidden="1">
      <c r="A106" t="s">
        <v>28</v>
      </c>
      <c r="B106" t="s">
        <v>231</v>
      </c>
      <c r="C106" t="s">
        <v>360</v>
      </c>
      <c r="F106" t="s">
        <v>159</v>
      </c>
    </row>
    <row r="107" spans="1:6" hidden="1">
      <c r="A107" t="s">
        <v>28</v>
      </c>
      <c r="B107" t="s">
        <v>361</v>
      </c>
      <c r="C107" t="s">
        <v>362</v>
      </c>
      <c r="F107" t="s">
        <v>159</v>
      </c>
    </row>
    <row r="108" spans="1:6" hidden="1">
      <c r="A108" t="s">
        <v>28</v>
      </c>
      <c r="B108" t="s">
        <v>363</v>
      </c>
      <c r="C108" t="s">
        <v>364</v>
      </c>
      <c r="F108" t="s">
        <v>365</v>
      </c>
    </row>
    <row r="109" spans="1:6" hidden="1">
      <c r="A109" t="s">
        <v>58</v>
      </c>
      <c r="B109" t="s">
        <v>136</v>
      </c>
      <c r="C109" t="s">
        <v>366</v>
      </c>
    </row>
    <row r="110" spans="1:6" hidden="1">
      <c r="A110" t="s">
        <v>58</v>
      </c>
      <c r="B110" t="s">
        <v>367</v>
      </c>
      <c r="C110"/>
    </row>
    <row r="111" spans="1:6" hidden="1">
      <c r="A111" t="s">
        <v>58</v>
      </c>
      <c r="B111" t="s">
        <v>279</v>
      </c>
      <c r="C111" s="1" t="s">
        <v>280</v>
      </c>
      <c r="F111" t="s">
        <v>368</v>
      </c>
    </row>
    <row r="112" spans="1:6" hidden="1">
      <c r="A112" t="s">
        <v>58</v>
      </c>
      <c r="B112" t="s">
        <v>281</v>
      </c>
      <c r="C112" s="1" t="s">
        <v>282</v>
      </c>
      <c r="F112" t="s">
        <v>159</v>
      </c>
    </row>
    <row r="113" spans="1:10" hidden="1">
      <c r="A113" t="s">
        <v>58</v>
      </c>
      <c r="B113" t="s">
        <v>283</v>
      </c>
      <c r="C113" s="1" t="s">
        <v>284</v>
      </c>
      <c r="F113" t="s">
        <v>369</v>
      </c>
    </row>
    <row r="114" spans="1:10" hidden="1">
      <c r="B114" t="s">
        <v>370</v>
      </c>
      <c r="C114" t="s">
        <v>371</v>
      </c>
    </row>
    <row r="115" spans="1:10" hidden="1">
      <c r="A115" t="s">
        <v>68</v>
      </c>
      <c r="B115" t="s">
        <v>136</v>
      </c>
      <c r="C115"/>
      <c r="F115" t="s">
        <v>138</v>
      </c>
    </row>
    <row r="116" spans="1:10" hidden="1">
      <c r="A116" t="s">
        <v>68</v>
      </c>
      <c r="B116" t="s">
        <v>133</v>
      </c>
      <c r="C116"/>
      <c r="F116" t="s">
        <v>135</v>
      </c>
    </row>
    <row r="117" spans="1:10" hidden="1">
      <c r="A117" t="s">
        <v>68</v>
      </c>
      <c r="B117" t="s">
        <v>185</v>
      </c>
      <c r="C117" t="s">
        <v>372</v>
      </c>
      <c r="F117" t="s">
        <v>163</v>
      </c>
      <c r="J117" t="s">
        <v>278</v>
      </c>
    </row>
    <row r="118" spans="1:10" hidden="1">
      <c r="A118" t="s">
        <v>68</v>
      </c>
      <c r="B118" t="s">
        <v>187</v>
      </c>
      <c r="C118" t="s">
        <v>373</v>
      </c>
      <c r="F118" t="s">
        <v>163</v>
      </c>
      <c r="J118" t="s">
        <v>374</v>
      </c>
    </row>
    <row r="119" spans="1:10" hidden="1">
      <c r="A119" t="s">
        <v>68</v>
      </c>
      <c r="B119" t="s">
        <v>375</v>
      </c>
      <c r="C119" t="s">
        <v>376</v>
      </c>
      <c r="F119" t="s">
        <v>129</v>
      </c>
    </row>
    <row r="120" spans="1:10" hidden="1">
      <c r="A120" t="s">
        <v>63</v>
      </c>
      <c r="B120" t="s">
        <v>133</v>
      </c>
      <c r="C120"/>
      <c r="F120" t="s">
        <v>120</v>
      </c>
    </row>
    <row r="121" spans="1:10" hidden="1">
      <c r="A121" t="s">
        <v>63</v>
      </c>
      <c r="B121" t="s">
        <v>377</v>
      </c>
      <c r="C121"/>
      <c r="F121" t="s">
        <v>135</v>
      </c>
    </row>
    <row r="122" spans="1:10" hidden="1">
      <c r="A122" t="s">
        <v>63</v>
      </c>
      <c r="B122" t="s">
        <v>378</v>
      </c>
      <c r="C122"/>
    </row>
    <row r="123" spans="1:10" hidden="1">
      <c r="A123" t="s">
        <v>63</v>
      </c>
      <c r="B123" t="s">
        <v>379</v>
      </c>
      <c r="C123" t="s">
        <v>380</v>
      </c>
      <c r="G123" s="16" t="s">
        <v>381</v>
      </c>
    </row>
    <row r="124" spans="1:10" hidden="1">
      <c r="A124" t="s">
        <v>63</v>
      </c>
      <c r="B124" t="s">
        <v>382</v>
      </c>
      <c r="C124" t="s">
        <v>383</v>
      </c>
    </row>
    <row r="125" spans="1:10" hidden="1">
      <c r="A125" t="s">
        <v>63</v>
      </c>
      <c r="B125" s="4" t="s">
        <v>384</v>
      </c>
      <c r="C125"/>
    </row>
    <row r="126" spans="1:10" hidden="1">
      <c r="A126" t="s">
        <v>63</v>
      </c>
      <c r="B126" t="s">
        <v>385</v>
      </c>
      <c r="C126"/>
    </row>
    <row r="127" spans="1:10" hidden="1">
      <c r="A127" t="s">
        <v>63</v>
      </c>
      <c r="B127" t="s">
        <v>386</v>
      </c>
      <c r="C127" t="s">
        <v>387</v>
      </c>
    </row>
    <row r="128" spans="1:10" hidden="1">
      <c r="B128" t="s">
        <v>370</v>
      </c>
      <c r="C128" t="s">
        <v>388</v>
      </c>
    </row>
    <row r="129" spans="1:7" hidden="1">
      <c r="A129" t="s">
        <v>37</v>
      </c>
      <c r="B129" t="s">
        <v>330</v>
      </c>
      <c r="C129"/>
    </row>
    <row r="130" spans="1:7" hidden="1">
      <c r="A130" t="s">
        <v>37</v>
      </c>
      <c r="B130" t="s">
        <v>231</v>
      </c>
      <c r="C130" t="s">
        <v>389</v>
      </c>
    </row>
    <row r="131" spans="1:7" hidden="1">
      <c r="A131" t="s">
        <v>37</v>
      </c>
      <c r="B131" t="s">
        <v>241</v>
      </c>
      <c r="C131" t="s">
        <v>390</v>
      </c>
    </row>
    <row r="132" spans="1:7" hidden="1">
      <c r="A132" t="s">
        <v>37</v>
      </c>
      <c r="B132" t="s">
        <v>391</v>
      </c>
      <c r="C132" t="s">
        <v>392</v>
      </c>
    </row>
    <row r="133" spans="1:7" hidden="1">
      <c r="A133" t="s">
        <v>37</v>
      </c>
      <c r="B133" t="s">
        <v>393</v>
      </c>
      <c r="C133" t="s">
        <v>394</v>
      </c>
    </row>
    <row r="134" spans="1:7" s="4" customFormat="1" hidden="1">
      <c r="A134" s="4" t="s">
        <v>37</v>
      </c>
      <c r="B134" s="4" t="s">
        <v>395</v>
      </c>
      <c r="C134" s="4" t="s">
        <v>396</v>
      </c>
      <c r="D134" s="4" t="s">
        <v>207</v>
      </c>
      <c r="E134" s="4" t="s">
        <v>397</v>
      </c>
      <c r="G134" s="6"/>
    </row>
    <row r="135" spans="1:7" hidden="1">
      <c r="A135" t="s">
        <v>37</v>
      </c>
      <c r="B135" t="s">
        <v>398</v>
      </c>
      <c r="C135" t="s">
        <v>399</v>
      </c>
    </row>
    <row r="136" spans="1:7" hidden="1">
      <c r="A136" t="s">
        <v>37</v>
      </c>
      <c r="B136" t="s">
        <v>400</v>
      </c>
      <c r="C136" t="s">
        <v>401</v>
      </c>
    </row>
    <row r="137" spans="1:7" hidden="1">
      <c r="A137" s="4" t="s">
        <v>82</v>
      </c>
      <c r="B137" s="4" t="s">
        <v>341</v>
      </c>
      <c r="C137" s="5" t="s">
        <v>402</v>
      </c>
    </row>
    <row r="138" spans="1:7" hidden="1">
      <c r="A138" s="4" t="s">
        <v>82</v>
      </c>
      <c r="B138" s="4" t="s">
        <v>246</v>
      </c>
      <c r="C138" s="5" t="s">
        <v>403</v>
      </c>
    </row>
    <row r="139" spans="1:7">
      <c r="A139" s="4" t="s">
        <v>82</v>
      </c>
      <c r="B139" s="4" t="s">
        <v>220</v>
      </c>
      <c r="C139" s="5" t="s">
        <v>404</v>
      </c>
      <c r="F139" t="s">
        <v>289</v>
      </c>
    </row>
    <row r="140" spans="1:7" hidden="1">
      <c r="A140" s="4" t="s">
        <v>82</v>
      </c>
      <c r="B140" s="4" t="s">
        <v>405</v>
      </c>
      <c r="C140" s="5" t="s">
        <v>406</v>
      </c>
    </row>
    <row r="141" spans="1:7" hidden="1">
      <c r="A141" s="4" t="s">
        <v>82</v>
      </c>
      <c r="B141" s="4" t="s">
        <v>407</v>
      </c>
      <c r="C141" s="5" t="s">
        <v>408</v>
      </c>
    </row>
    <row r="142" spans="1:7" hidden="1">
      <c r="A142" s="4" t="s">
        <v>82</v>
      </c>
      <c r="B142" s="4" t="s">
        <v>409</v>
      </c>
      <c r="C142" s="5" t="s">
        <v>410</v>
      </c>
    </row>
    <row r="143" spans="1:7" hidden="1">
      <c r="A143" s="4" t="s">
        <v>82</v>
      </c>
      <c r="B143" s="4" t="s">
        <v>411</v>
      </c>
      <c r="C143" s="5" t="s">
        <v>412</v>
      </c>
    </row>
    <row r="144" spans="1:7" ht="60" hidden="1">
      <c r="A144" s="4" t="s">
        <v>82</v>
      </c>
      <c r="B144" s="4" t="s">
        <v>413</v>
      </c>
      <c r="C144" s="5" t="s">
        <v>414</v>
      </c>
      <c r="G144" s="16" t="s">
        <v>415</v>
      </c>
    </row>
    <row r="145" spans="1:7" hidden="1">
      <c r="A145" s="4" t="s">
        <v>82</v>
      </c>
      <c r="B145" s="4" t="s">
        <v>416</v>
      </c>
      <c r="C145" s="5" t="s">
        <v>417</v>
      </c>
    </row>
    <row r="146" spans="1:7" hidden="1">
      <c r="A146" s="4" t="s">
        <v>82</v>
      </c>
      <c r="B146" s="4" t="s">
        <v>418</v>
      </c>
      <c r="C146" s="5" t="s">
        <v>419</v>
      </c>
    </row>
    <row r="147" spans="1:7" hidden="1">
      <c r="A147" s="4" t="s">
        <v>82</v>
      </c>
      <c r="B147" s="4" t="s">
        <v>133</v>
      </c>
      <c r="C147" s="5" t="s">
        <v>420</v>
      </c>
    </row>
    <row r="148" spans="1:7">
      <c r="A148" t="s">
        <v>100</v>
      </c>
      <c r="B148" t="s">
        <v>220</v>
      </c>
      <c r="C148" s="1" t="s">
        <v>421</v>
      </c>
      <c r="D148" t="s">
        <v>422</v>
      </c>
      <c r="E148" t="s">
        <v>423</v>
      </c>
      <c r="F148" t="s">
        <v>120</v>
      </c>
    </row>
    <row r="149" spans="1:7">
      <c r="A149" t="s">
        <v>100</v>
      </c>
      <c r="B149" t="s">
        <v>424</v>
      </c>
      <c r="C149" s="1" t="s">
        <v>425</v>
      </c>
      <c r="D149" t="s">
        <v>426</v>
      </c>
      <c r="F149" t="s">
        <v>427</v>
      </c>
    </row>
    <row r="150" spans="1:7" hidden="1">
      <c r="A150" t="s">
        <v>100</v>
      </c>
      <c r="B150" t="s">
        <v>231</v>
      </c>
      <c r="C150" s="1" t="s">
        <v>428</v>
      </c>
      <c r="F150" t="s">
        <v>159</v>
      </c>
    </row>
    <row r="151" spans="1:7" hidden="1">
      <c r="A151" t="s">
        <v>100</v>
      </c>
      <c r="B151" t="s">
        <v>429</v>
      </c>
      <c r="C151" s="1" t="s">
        <v>430</v>
      </c>
      <c r="F151" t="s">
        <v>129</v>
      </c>
      <c r="G151" s="16" t="s">
        <v>431</v>
      </c>
    </row>
    <row r="152" spans="1:7" hidden="1">
      <c r="A152" t="s">
        <v>100</v>
      </c>
      <c r="B152" t="s">
        <v>279</v>
      </c>
      <c r="C152" s="1" t="s">
        <v>280</v>
      </c>
      <c r="F152" t="s">
        <v>368</v>
      </c>
    </row>
    <row r="153" spans="1:7" hidden="1">
      <c r="A153" t="s">
        <v>100</v>
      </c>
      <c r="B153" t="s">
        <v>281</v>
      </c>
      <c r="C153" s="1" t="s">
        <v>282</v>
      </c>
      <c r="F153" t="s">
        <v>159</v>
      </c>
    </row>
    <row r="154" spans="1:7" hidden="1">
      <c r="A154" t="s">
        <v>100</v>
      </c>
      <c r="B154" t="s">
        <v>283</v>
      </c>
      <c r="C154" s="1" t="s">
        <v>284</v>
      </c>
      <c r="F154" t="s">
        <v>369</v>
      </c>
    </row>
    <row r="155" spans="1:7" hidden="1">
      <c r="A155" t="s">
        <v>105</v>
      </c>
      <c r="B155" t="s">
        <v>432</v>
      </c>
      <c r="C155" s="1" t="s">
        <v>433</v>
      </c>
    </row>
    <row r="156" spans="1:7" hidden="1">
      <c r="A156" t="s">
        <v>105</v>
      </c>
      <c r="B156" t="s">
        <v>246</v>
      </c>
      <c r="C156" s="1" t="s">
        <v>434</v>
      </c>
    </row>
    <row r="157" spans="1:7" hidden="1">
      <c r="A157" t="s">
        <v>105</v>
      </c>
      <c r="B157" t="s">
        <v>435</v>
      </c>
      <c r="C157" s="1" t="s">
        <v>436</v>
      </c>
    </row>
    <row r="158" spans="1:7" hidden="1">
      <c r="A158" t="s">
        <v>105</v>
      </c>
      <c r="B158" t="s">
        <v>437</v>
      </c>
      <c r="C158" s="1" t="s">
        <v>438</v>
      </c>
    </row>
    <row r="159" spans="1:7" hidden="1">
      <c r="A159" t="s">
        <v>105</v>
      </c>
      <c r="B159" t="s">
        <v>439</v>
      </c>
      <c r="C159" s="1" t="s">
        <v>440</v>
      </c>
    </row>
    <row r="160" spans="1:7" hidden="1">
      <c r="A160" t="s">
        <v>105</v>
      </c>
      <c r="B160" t="s">
        <v>441</v>
      </c>
    </row>
    <row r="161" spans="1:7" hidden="1">
      <c r="A161" t="s">
        <v>105</v>
      </c>
      <c r="B161" t="s">
        <v>442</v>
      </c>
    </row>
    <row r="162" spans="1:7" hidden="1">
      <c r="A162" t="s">
        <v>28</v>
      </c>
      <c r="B162" t="s">
        <v>443</v>
      </c>
      <c r="C162" s="1" t="s">
        <v>444</v>
      </c>
      <c r="F162" t="s">
        <v>120</v>
      </c>
    </row>
    <row r="163" spans="1:7" hidden="1">
      <c r="A163" s="3" t="s">
        <v>42</v>
      </c>
      <c r="B163" t="s">
        <v>228</v>
      </c>
    </row>
    <row r="164" spans="1:7" ht="30" hidden="1">
      <c r="A164" s="3" t="s">
        <v>21</v>
      </c>
      <c r="B164" t="s">
        <v>445</v>
      </c>
      <c r="C164" s="1" t="s">
        <v>446</v>
      </c>
      <c r="E164" t="s">
        <v>447</v>
      </c>
      <c r="G164" s="16" t="s">
        <v>448</v>
      </c>
    </row>
  </sheetData>
  <sortState xmlns:xlrd2="http://schemas.microsoft.com/office/spreadsheetml/2017/richdata2" ref="A2:J105">
    <sortCondition ref="A2:A105"/>
  </sortState>
  <dataValidations count="1">
    <dataValidation allowBlank="1" showInputMessage="1" showErrorMessage="1" sqref="A1" xr:uid="{EAF3A632-FFC2-461F-8E3C-46D4F5CA1EA8}"/>
  </dataValidations>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52E9584E-E360-4444-A992-FE8290AD3AAE}">
          <x14:formula1>
            <xm:f>objects!$A:$A</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A969B-2E99-43A3-91BB-BD5F9824B477}">
  <dimension ref="A1:T9"/>
  <sheetViews>
    <sheetView workbookViewId="0">
      <selection activeCell="P1" sqref="P1"/>
    </sheetView>
  </sheetViews>
  <sheetFormatPr defaultRowHeight="15"/>
  <cols>
    <col min="1" max="1" width="13.28515625" customWidth="1"/>
    <col min="2" max="2" width="13.42578125" customWidth="1"/>
    <col min="3" max="3" width="22" bestFit="1" customWidth="1"/>
    <col min="4" max="4" width="17" customWidth="1"/>
    <col min="5" max="5" width="13.42578125" customWidth="1"/>
    <col min="8" max="8" width="19.28515625" bestFit="1" customWidth="1"/>
    <col min="9" max="9" width="14.7109375" bestFit="1" customWidth="1"/>
    <col min="13" max="13" width="14.5703125" bestFit="1" customWidth="1"/>
    <col min="14" max="14" width="9" customWidth="1"/>
  </cols>
  <sheetData>
    <row r="1" spans="1:20">
      <c r="A1" s="3" t="s">
        <v>449</v>
      </c>
      <c r="B1" s="3" t="s">
        <v>450</v>
      </c>
      <c r="C1" s="3" t="s">
        <v>451</v>
      </c>
      <c r="D1" s="3" t="s">
        <v>452</v>
      </c>
      <c r="E1" s="31" t="s">
        <v>453</v>
      </c>
      <c r="F1" s="31" t="s">
        <v>454</v>
      </c>
      <c r="G1" t="s">
        <v>63</v>
      </c>
      <c r="H1" s="3" t="s">
        <v>455</v>
      </c>
      <c r="I1" s="3" t="s">
        <v>456</v>
      </c>
      <c r="K1" t="s">
        <v>457</v>
      </c>
      <c r="M1" t="s">
        <v>458</v>
      </c>
      <c r="N1" t="s">
        <v>459</v>
      </c>
      <c r="P1" s="4" t="s">
        <v>460</v>
      </c>
      <c r="Q1" s="4" t="s">
        <v>461</v>
      </c>
      <c r="R1" s="4" t="s">
        <v>462</v>
      </c>
      <c r="S1" s="4" t="s">
        <v>463</v>
      </c>
      <c r="T1" s="4" t="s">
        <v>464</v>
      </c>
    </row>
    <row r="2" spans="1:20">
      <c r="A2" s="3">
        <v>1</v>
      </c>
      <c r="B2" s="3">
        <v>1</v>
      </c>
      <c r="C2" s="3" t="s">
        <v>465</v>
      </c>
      <c r="D2" s="3" t="s">
        <v>466</v>
      </c>
      <c r="E2" s="31">
        <v>1</v>
      </c>
      <c r="F2" s="31">
        <v>1</v>
      </c>
      <c r="G2">
        <v>1</v>
      </c>
      <c r="H2" s="3" t="s">
        <v>467</v>
      </c>
      <c r="I2" s="3">
        <v>10</v>
      </c>
      <c r="K2" s="32">
        <v>0.1</v>
      </c>
      <c r="M2" s="33">
        <v>1000</v>
      </c>
      <c r="N2" s="33">
        <f>M2*K2</f>
        <v>100</v>
      </c>
    </row>
    <row r="3" spans="1:20">
      <c r="A3" s="3">
        <v>1</v>
      </c>
      <c r="B3" s="3">
        <v>2</v>
      </c>
      <c r="C3" s="3" t="s">
        <v>468</v>
      </c>
      <c r="D3" s="3" t="s">
        <v>469</v>
      </c>
      <c r="E3" s="31">
        <v>1</v>
      </c>
      <c r="F3" s="31">
        <v>5</v>
      </c>
      <c r="G3">
        <v>2</v>
      </c>
      <c r="H3" s="3" t="s">
        <v>470</v>
      </c>
      <c r="I3" s="3">
        <v>200</v>
      </c>
      <c r="K3" s="32">
        <v>0.02</v>
      </c>
      <c r="M3" s="33">
        <v>250</v>
      </c>
      <c r="N3" s="33">
        <f t="shared" ref="N3:N9" si="0">M3*K3</f>
        <v>5</v>
      </c>
    </row>
    <row r="4" spans="1:20">
      <c r="A4" s="3">
        <v>1</v>
      </c>
      <c r="B4" s="3">
        <v>2</v>
      </c>
      <c r="C4" s="3" t="s">
        <v>468</v>
      </c>
      <c r="D4" s="3" t="s">
        <v>471</v>
      </c>
      <c r="E4" s="31">
        <v>2</v>
      </c>
      <c r="F4" s="31"/>
      <c r="G4">
        <v>3</v>
      </c>
      <c r="H4" s="3" t="s">
        <v>472</v>
      </c>
      <c r="I4" s="3">
        <v>15</v>
      </c>
      <c r="K4" s="32">
        <v>0.6</v>
      </c>
      <c r="M4" s="33">
        <v>250</v>
      </c>
      <c r="N4" s="33">
        <f t="shared" si="0"/>
        <v>150</v>
      </c>
    </row>
    <row r="5" spans="1:20">
      <c r="A5" s="3">
        <v>2</v>
      </c>
      <c r="B5" s="3">
        <v>1</v>
      </c>
      <c r="C5" s="3" t="s">
        <v>465</v>
      </c>
      <c r="D5" s="3" t="s">
        <v>473</v>
      </c>
      <c r="E5" s="31">
        <v>3</v>
      </c>
      <c r="F5" s="31"/>
      <c r="G5">
        <v>4</v>
      </c>
      <c r="H5" s="3" t="s">
        <v>474</v>
      </c>
      <c r="I5" s="3">
        <v>1</v>
      </c>
      <c r="K5" s="32">
        <v>0.52</v>
      </c>
      <c r="M5" s="33">
        <v>1000</v>
      </c>
      <c r="N5" s="33">
        <f t="shared" si="0"/>
        <v>520</v>
      </c>
    </row>
    <row r="6" spans="1:20">
      <c r="A6" s="3">
        <v>3</v>
      </c>
      <c r="B6" s="3">
        <v>3</v>
      </c>
      <c r="C6" s="3" t="s">
        <v>73</v>
      </c>
      <c r="D6" s="3" t="s">
        <v>475</v>
      </c>
      <c r="E6" s="31">
        <v>4</v>
      </c>
      <c r="F6" s="31">
        <v>6</v>
      </c>
      <c r="G6">
        <v>5</v>
      </c>
      <c r="H6" s="3" t="s">
        <v>470</v>
      </c>
      <c r="I6" s="3">
        <v>0</v>
      </c>
      <c r="K6" s="32">
        <v>0.1</v>
      </c>
      <c r="M6" s="33">
        <v>555</v>
      </c>
      <c r="N6" s="33">
        <f t="shared" si="0"/>
        <v>55.5</v>
      </c>
    </row>
    <row r="7" spans="1:20">
      <c r="A7" s="3">
        <v>4</v>
      </c>
      <c r="B7" s="3">
        <v>4</v>
      </c>
      <c r="C7" s="3" t="s">
        <v>73</v>
      </c>
      <c r="D7" s="3" t="s">
        <v>476</v>
      </c>
      <c r="E7" s="31"/>
      <c r="F7" s="31">
        <v>5</v>
      </c>
      <c r="G7">
        <v>6</v>
      </c>
      <c r="H7" s="3" t="s">
        <v>472</v>
      </c>
      <c r="I7" s="3">
        <v>256</v>
      </c>
      <c r="K7" s="32">
        <v>1E-3</v>
      </c>
      <c r="M7" s="33">
        <v>789</v>
      </c>
      <c r="N7" s="33">
        <f t="shared" si="0"/>
        <v>0.78900000000000003</v>
      </c>
    </row>
    <row r="8" spans="1:20">
      <c r="A8" s="3">
        <v>5</v>
      </c>
      <c r="B8" s="3">
        <v>7</v>
      </c>
      <c r="C8" s="3" t="s">
        <v>73</v>
      </c>
      <c r="D8" s="3" t="s">
        <v>477</v>
      </c>
      <c r="E8" s="31">
        <v>6</v>
      </c>
      <c r="F8" s="31"/>
      <c r="G8">
        <v>7</v>
      </c>
      <c r="H8" s="3" t="s">
        <v>474</v>
      </c>
      <c r="I8" s="3">
        <v>24</v>
      </c>
      <c r="K8" s="32">
        <v>1E-3</v>
      </c>
      <c r="M8" s="33">
        <v>5</v>
      </c>
      <c r="N8" s="33">
        <f t="shared" si="0"/>
        <v>5.0000000000000001E-3</v>
      </c>
    </row>
    <row r="9" spans="1:20">
      <c r="A9" s="3">
        <v>8</v>
      </c>
      <c r="B9" s="3">
        <v>8</v>
      </c>
      <c r="C9" s="3" t="s">
        <v>73</v>
      </c>
      <c r="D9" s="3" t="s">
        <v>478</v>
      </c>
      <c r="E9" s="31"/>
      <c r="F9" s="31">
        <v>8</v>
      </c>
      <c r="G9">
        <v>8</v>
      </c>
      <c r="H9" s="3" t="s">
        <v>467</v>
      </c>
      <c r="I9" s="3">
        <v>51</v>
      </c>
      <c r="K9" s="32">
        <v>1E-3</v>
      </c>
      <c r="M9" s="33">
        <v>1000000</v>
      </c>
      <c r="N9" s="33">
        <f t="shared" si="0"/>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8CA7-C3B2-4113-BDC9-28FC11714663}">
  <dimension ref="A1:F62"/>
  <sheetViews>
    <sheetView topLeftCell="A21" zoomScale="85" zoomScaleNormal="85" workbookViewId="0">
      <selection activeCell="C23" sqref="C23"/>
    </sheetView>
  </sheetViews>
  <sheetFormatPr defaultRowHeight="15"/>
  <cols>
    <col min="1" max="1" width="47.140625" bestFit="1" customWidth="1"/>
    <col min="2" max="2" width="41.7109375" style="16" customWidth="1"/>
    <col min="3" max="3" width="86" style="16" customWidth="1"/>
    <col min="4" max="4" width="12.7109375" style="16" customWidth="1"/>
    <col min="5" max="5" width="174" style="16" hidden="1" customWidth="1"/>
    <col min="6" max="6" width="0" hidden="1" customWidth="1"/>
  </cols>
  <sheetData>
    <row r="1" spans="1:4" ht="30">
      <c r="A1" t="s">
        <v>0</v>
      </c>
      <c r="B1" s="16" t="s">
        <v>479</v>
      </c>
      <c r="C1" s="16" t="s">
        <v>2</v>
      </c>
      <c r="D1" s="16" t="s">
        <v>480</v>
      </c>
    </row>
    <row r="2" spans="1:4">
      <c r="A2" s="10" t="s">
        <v>481</v>
      </c>
      <c r="B2" s="17"/>
      <c r="C2" s="17" t="s">
        <v>482</v>
      </c>
      <c r="D2" s="17"/>
    </row>
    <row r="3" spans="1:4">
      <c r="A3" s="11" t="s">
        <v>483</v>
      </c>
      <c r="B3" s="17"/>
      <c r="C3" s="17" t="s">
        <v>484</v>
      </c>
      <c r="D3" s="17"/>
    </row>
    <row r="4" spans="1:4">
      <c r="A4" s="11" t="s">
        <v>485</v>
      </c>
      <c r="B4" s="17"/>
      <c r="C4" s="17" t="s">
        <v>486</v>
      </c>
      <c r="D4" s="17"/>
    </row>
    <row r="5" spans="1:4">
      <c r="A5" s="11" t="s">
        <v>487</v>
      </c>
      <c r="B5" s="17"/>
      <c r="C5" s="17" t="s">
        <v>488</v>
      </c>
      <c r="D5" s="17"/>
    </row>
    <row r="6" spans="1:4">
      <c r="A6" s="11" t="s">
        <v>489</v>
      </c>
      <c r="B6" s="17"/>
      <c r="C6" s="17" t="s">
        <v>490</v>
      </c>
      <c r="D6" s="17"/>
    </row>
    <row r="7" spans="1:4">
      <c r="A7" s="11" t="s">
        <v>491</v>
      </c>
      <c r="B7" s="17"/>
      <c r="C7" s="17" t="s">
        <v>492</v>
      </c>
      <c r="D7" s="17"/>
    </row>
    <row r="8" spans="1:4">
      <c r="A8" s="10" t="s">
        <v>493</v>
      </c>
      <c r="B8" s="17"/>
      <c r="C8" s="17"/>
      <c r="D8" s="17"/>
    </row>
    <row r="9" spans="1:4">
      <c r="A9" s="11" t="s">
        <v>494</v>
      </c>
      <c r="B9" s="17"/>
      <c r="C9" s="17" t="s">
        <v>495</v>
      </c>
      <c r="D9" s="17"/>
    </row>
    <row r="10" spans="1:4">
      <c r="A10" s="11" t="s">
        <v>496</v>
      </c>
      <c r="B10" s="17"/>
      <c r="C10" s="17" t="s">
        <v>497</v>
      </c>
      <c r="D10" s="17"/>
    </row>
    <row r="11" spans="1:4">
      <c r="A11" s="11" t="s">
        <v>498</v>
      </c>
      <c r="B11" s="17"/>
      <c r="C11" s="17" t="s">
        <v>499</v>
      </c>
      <c r="D11" s="17"/>
    </row>
    <row r="12" spans="1:4" ht="30">
      <c r="A12" s="11" t="s">
        <v>500</v>
      </c>
      <c r="B12" s="17"/>
      <c r="C12" s="17" t="s">
        <v>501</v>
      </c>
      <c r="D12" s="17"/>
    </row>
    <row r="13" spans="1:4">
      <c r="A13" s="10" t="s">
        <v>502</v>
      </c>
      <c r="B13" s="17"/>
      <c r="C13" s="17"/>
      <c r="D13" s="17"/>
    </row>
    <row r="14" spans="1:4">
      <c r="A14" s="11" t="s">
        <v>503</v>
      </c>
      <c r="B14" s="17"/>
      <c r="C14" s="17" t="s">
        <v>504</v>
      </c>
      <c r="D14" s="17"/>
    </row>
    <row r="15" spans="1:4">
      <c r="A15" s="11" t="s">
        <v>505</v>
      </c>
      <c r="B15" s="17"/>
      <c r="C15" s="17" t="s">
        <v>506</v>
      </c>
      <c r="D15" s="17"/>
    </row>
    <row r="16" spans="1:4">
      <c r="A16" s="11" t="s">
        <v>507</v>
      </c>
      <c r="B16" s="17"/>
      <c r="C16" s="17" t="s">
        <v>508</v>
      </c>
      <c r="D16" s="17"/>
    </row>
    <row r="17" spans="1:6">
      <c r="A17" s="11" t="s">
        <v>509</v>
      </c>
      <c r="B17" s="17"/>
      <c r="C17" s="17" t="s">
        <v>510</v>
      </c>
      <c r="D17" s="17"/>
    </row>
    <row r="18" spans="1:6">
      <c r="E18" s="13" t="s">
        <v>511</v>
      </c>
      <c r="F18" s="7" t="s">
        <v>512</v>
      </c>
    </row>
    <row r="19" spans="1:6" ht="45">
      <c r="A19" s="12" t="s">
        <v>513</v>
      </c>
      <c r="B19" s="16" t="s">
        <v>514</v>
      </c>
      <c r="C19" s="16" t="s">
        <v>515</v>
      </c>
      <c r="E19" s="14" t="s">
        <v>516</v>
      </c>
      <c r="F19" s="8" t="s">
        <v>517</v>
      </c>
    </row>
    <row r="20" spans="1:6" ht="30">
      <c r="A20" s="12" t="s">
        <v>518</v>
      </c>
      <c r="B20" s="16" t="s">
        <v>519</v>
      </c>
      <c r="C20" s="16" t="s">
        <v>520</v>
      </c>
      <c r="E20" s="14" t="s">
        <v>521</v>
      </c>
      <c r="F20" s="8" t="s">
        <v>522</v>
      </c>
    </row>
    <row r="21" spans="1:6" ht="60">
      <c r="A21" s="12" t="s">
        <v>481</v>
      </c>
      <c r="B21" s="16" t="s">
        <v>523</v>
      </c>
      <c r="C21" s="16" t="s">
        <v>524</v>
      </c>
      <c r="D21" s="16" t="s">
        <v>525</v>
      </c>
      <c r="E21" s="14" t="s">
        <v>526</v>
      </c>
      <c r="F21" s="8" t="s">
        <v>527</v>
      </c>
    </row>
    <row r="22" spans="1:6" ht="30">
      <c r="A22" s="12" t="s">
        <v>528</v>
      </c>
      <c r="B22" s="16" t="s">
        <v>529</v>
      </c>
      <c r="C22" s="16" t="s">
        <v>530</v>
      </c>
      <c r="E22" s="14" t="s">
        <v>531</v>
      </c>
      <c r="F22" s="8" t="s">
        <v>532</v>
      </c>
    </row>
    <row r="23" spans="1:6" ht="135">
      <c r="A23" s="12" t="s">
        <v>533</v>
      </c>
      <c r="B23" s="16" t="s">
        <v>529</v>
      </c>
      <c r="C23" s="16" t="s">
        <v>534</v>
      </c>
      <c r="E23" s="14" t="s">
        <v>535</v>
      </c>
      <c r="F23" s="8" t="s">
        <v>536</v>
      </c>
    </row>
    <row r="24" spans="1:6" ht="270">
      <c r="A24" s="12" t="s">
        <v>537</v>
      </c>
      <c r="B24" s="16" t="s">
        <v>529</v>
      </c>
      <c r="C24" s="18" t="s">
        <v>538</v>
      </c>
      <c r="E24" s="14" t="s">
        <v>539</v>
      </c>
      <c r="F24" s="8" t="s">
        <v>540</v>
      </c>
    </row>
    <row r="25" spans="1:6" ht="75">
      <c r="A25" s="12" t="s">
        <v>541</v>
      </c>
      <c r="B25" s="16" t="s">
        <v>542</v>
      </c>
      <c r="C25" s="16" t="s">
        <v>543</v>
      </c>
      <c r="E25" s="14" t="s">
        <v>544</v>
      </c>
      <c r="F25" s="8" t="s">
        <v>545</v>
      </c>
    </row>
    <row r="26" spans="1:6" ht="120">
      <c r="A26" s="12" t="s">
        <v>546</v>
      </c>
      <c r="B26" s="16" t="s">
        <v>542</v>
      </c>
      <c r="C26" s="16" t="s">
        <v>547</v>
      </c>
      <c r="E26" s="14" t="s">
        <v>548</v>
      </c>
      <c r="F26" s="8" t="s">
        <v>549</v>
      </c>
    </row>
    <row r="27" spans="1:6" ht="75">
      <c r="A27" s="12" t="s">
        <v>550</v>
      </c>
      <c r="B27" s="16" t="s">
        <v>542</v>
      </c>
      <c r="E27" s="14" t="s">
        <v>551</v>
      </c>
      <c r="F27" s="8" t="s">
        <v>552</v>
      </c>
    </row>
    <row r="28" spans="1:6" ht="75">
      <c r="A28" s="12" t="s">
        <v>553</v>
      </c>
      <c r="B28" s="16" t="s">
        <v>542</v>
      </c>
      <c r="E28" s="14" t="s">
        <v>554</v>
      </c>
      <c r="F28" s="15" t="s">
        <v>555</v>
      </c>
    </row>
    <row r="29" spans="1:6" ht="75">
      <c r="A29" s="12" t="s">
        <v>556</v>
      </c>
      <c r="B29" s="16" t="s">
        <v>542</v>
      </c>
      <c r="E29" s="14" t="s">
        <v>557</v>
      </c>
      <c r="F29" s="8" t="s">
        <v>558</v>
      </c>
    </row>
    <row r="30" spans="1:6" ht="75">
      <c r="A30" s="12" t="s">
        <v>559</v>
      </c>
      <c r="B30" s="16" t="s">
        <v>542</v>
      </c>
      <c r="E30" s="14" t="s">
        <v>560</v>
      </c>
      <c r="F30" s="8" t="s">
        <v>561</v>
      </c>
    </row>
    <row r="31" spans="1:6" ht="75">
      <c r="A31" s="12" t="s">
        <v>562</v>
      </c>
      <c r="B31" s="16" t="s">
        <v>542</v>
      </c>
      <c r="C31" s="19" t="s">
        <v>563</v>
      </c>
      <c r="E31" s="14" t="s">
        <v>564</v>
      </c>
      <c r="F31" s="8" t="s">
        <v>565</v>
      </c>
    </row>
    <row r="32" spans="1:6" ht="45">
      <c r="A32" s="12" t="s">
        <v>566</v>
      </c>
      <c r="B32" s="20" t="s">
        <v>567</v>
      </c>
      <c r="C32" s="19"/>
      <c r="E32" s="14" t="s">
        <v>568</v>
      </c>
      <c r="F32" s="8" t="s">
        <v>569</v>
      </c>
    </row>
    <row r="33" spans="1:6" ht="30">
      <c r="A33" s="12" t="s">
        <v>570</v>
      </c>
      <c r="B33" s="16" t="s">
        <v>571</v>
      </c>
      <c r="E33" s="14" t="s">
        <v>572</v>
      </c>
      <c r="F33" s="8" t="s">
        <v>573</v>
      </c>
    </row>
    <row r="34" spans="1:6" ht="30">
      <c r="A34" s="12" t="s">
        <v>574</v>
      </c>
      <c r="B34" s="20" t="s">
        <v>575</v>
      </c>
      <c r="E34" s="14" t="s">
        <v>576</v>
      </c>
      <c r="F34" s="8" t="s">
        <v>577</v>
      </c>
    </row>
    <row r="35" spans="1:6">
      <c r="A35" s="12" t="s">
        <v>578</v>
      </c>
      <c r="B35" s="21" t="s">
        <v>579</v>
      </c>
      <c r="E35" s="14" t="s">
        <v>580</v>
      </c>
      <c r="F35" s="8" t="s">
        <v>581</v>
      </c>
    </row>
    <row r="36" spans="1:6">
      <c r="A36" s="12" t="s">
        <v>582</v>
      </c>
      <c r="B36" s="16" t="s">
        <v>583</v>
      </c>
      <c r="C36" s="16" t="s">
        <v>584</v>
      </c>
      <c r="E36" s="14" t="s">
        <v>585</v>
      </c>
      <c r="F36" s="8" t="s">
        <v>586</v>
      </c>
    </row>
    <row r="37" spans="1:6">
      <c r="A37" s="12" t="s">
        <v>451</v>
      </c>
      <c r="B37" s="16" t="s">
        <v>583</v>
      </c>
      <c r="C37" s="16" t="s">
        <v>587</v>
      </c>
      <c r="E37" s="14" t="s">
        <v>588</v>
      </c>
      <c r="F37" s="8" t="s">
        <v>589</v>
      </c>
    </row>
    <row r="38" spans="1:6">
      <c r="A38" s="12" t="s">
        <v>590</v>
      </c>
      <c r="B38" s="16" t="s">
        <v>583</v>
      </c>
      <c r="C38" s="16" t="s">
        <v>591</v>
      </c>
      <c r="E38" s="14" t="s">
        <v>592</v>
      </c>
      <c r="F38" s="8" t="s">
        <v>593</v>
      </c>
    </row>
    <row r="39" spans="1:6">
      <c r="A39" s="12" t="s">
        <v>594</v>
      </c>
      <c r="B39" s="16" t="s">
        <v>583</v>
      </c>
      <c r="E39" s="14" t="s">
        <v>595</v>
      </c>
      <c r="F39" s="8" t="s">
        <v>596</v>
      </c>
    </row>
    <row r="40" spans="1:6" ht="45">
      <c r="A40" s="12" t="s">
        <v>597</v>
      </c>
      <c r="B40" s="20" t="s">
        <v>598</v>
      </c>
      <c r="E40" s="14" t="s">
        <v>599</v>
      </c>
      <c r="F40" s="8" t="s">
        <v>600</v>
      </c>
    </row>
    <row r="41" spans="1:6" ht="60">
      <c r="A41" s="12" t="s">
        <v>601</v>
      </c>
      <c r="B41" s="20" t="s">
        <v>602</v>
      </c>
      <c r="E41" s="14" t="s">
        <v>603</v>
      </c>
      <c r="F41" s="8" t="s">
        <v>604</v>
      </c>
    </row>
    <row r="42" spans="1:6" ht="60">
      <c r="A42" s="12" t="s">
        <v>605</v>
      </c>
      <c r="B42" s="20" t="s">
        <v>606</v>
      </c>
      <c r="C42" s="16" t="s">
        <v>607</v>
      </c>
      <c r="E42" s="14" t="s">
        <v>608</v>
      </c>
      <c r="F42" s="8" t="s">
        <v>609</v>
      </c>
    </row>
    <row r="43" spans="1:6" ht="45">
      <c r="A43" s="12" t="s">
        <v>610</v>
      </c>
      <c r="B43" s="23" t="s">
        <v>611</v>
      </c>
      <c r="C43" s="16" t="s">
        <v>612</v>
      </c>
      <c r="E43" s="14" t="s">
        <v>613</v>
      </c>
      <c r="F43" s="8" t="s">
        <v>614</v>
      </c>
    </row>
    <row r="44" spans="1:6" ht="30">
      <c r="A44" s="12" t="s">
        <v>615</v>
      </c>
      <c r="B44" s="23" t="s">
        <v>616</v>
      </c>
      <c r="C44" s="16" t="s">
        <v>617</v>
      </c>
      <c r="E44" s="14" t="s">
        <v>618</v>
      </c>
      <c r="F44" s="8" t="s">
        <v>619</v>
      </c>
    </row>
    <row r="45" spans="1:6" ht="105">
      <c r="A45" s="12" t="s">
        <v>620</v>
      </c>
      <c r="B45" s="21" t="s">
        <v>621</v>
      </c>
      <c r="C45" s="16" t="s">
        <v>622</v>
      </c>
      <c r="E45" s="14" t="s">
        <v>623</v>
      </c>
      <c r="F45" s="8" t="s">
        <v>624</v>
      </c>
    </row>
    <row r="46" spans="1:6" ht="45">
      <c r="A46" s="12" t="s">
        <v>625</v>
      </c>
      <c r="B46" s="21" t="s">
        <v>621</v>
      </c>
      <c r="E46" s="14" t="s">
        <v>626</v>
      </c>
      <c r="F46" s="8" t="s">
        <v>627</v>
      </c>
    </row>
    <row r="47" spans="1:6" ht="30">
      <c r="A47" s="12" t="s">
        <v>628</v>
      </c>
      <c r="B47" s="23" t="s">
        <v>629</v>
      </c>
      <c r="E47" s="14" t="s">
        <v>630</v>
      </c>
      <c r="F47" s="15" t="s">
        <v>631</v>
      </c>
    </row>
    <row r="48" spans="1:6" ht="30">
      <c r="A48" s="12" t="s">
        <v>632</v>
      </c>
      <c r="B48" s="23" t="s">
        <v>629</v>
      </c>
      <c r="E48" s="14" t="s">
        <v>633</v>
      </c>
      <c r="F48" s="15" t="s">
        <v>634</v>
      </c>
    </row>
    <row r="49" spans="1:6">
      <c r="A49" s="12" t="s">
        <v>635</v>
      </c>
      <c r="B49" s="21" t="s">
        <v>636</v>
      </c>
      <c r="E49" s="14" t="s">
        <v>637</v>
      </c>
      <c r="F49" s="8" t="s">
        <v>638</v>
      </c>
    </row>
    <row r="50" spans="1:6">
      <c r="A50" s="12" t="s">
        <v>639</v>
      </c>
      <c r="B50" s="21" t="s">
        <v>636</v>
      </c>
      <c r="E50" s="14" t="s">
        <v>640</v>
      </c>
      <c r="F50" s="8" t="s">
        <v>641</v>
      </c>
    </row>
    <row r="51" spans="1:6" ht="60">
      <c r="A51" s="12" t="s">
        <v>642</v>
      </c>
      <c r="B51" s="23" t="s">
        <v>643</v>
      </c>
      <c r="E51" s="14" t="s">
        <v>644</v>
      </c>
      <c r="F51" s="8" t="s">
        <v>645</v>
      </c>
    </row>
    <row r="52" spans="1:6" ht="60">
      <c r="A52" s="12" t="s">
        <v>646</v>
      </c>
      <c r="B52" s="23" t="s">
        <v>643</v>
      </c>
      <c r="E52" s="14" t="s">
        <v>647</v>
      </c>
      <c r="F52" s="8" t="s">
        <v>648</v>
      </c>
    </row>
    <row r="53" spans="1:6">
      <c r="A53" s="12" t="s">
        <v>649</v>
      </c>
      <c r="B53" s="22" t="s">
        <v>650</v>
      </c>
      <c r="E53" s="14" t="s">
        <v>651</v>
      </c>
      <c r="F53" s="8" t="s">
        <v>652</v>
      </c>
    </row>
    <row r="54" spans="1:6" ht="165">
      <c r="A54" s="12" t="s">
        <v>653</v>
      </c>
      <c r="B54" s="23" t="s">
        <v>654</v>
      </c>
      <c r="C54" s="16" t="s">
        <v>655</v>
      </c>
      <c r="E54" s="14" t="s">
        <v>656</v>
      </c>
      <c r="F54" s="8" t="s">
        <v>657</v>
      </c>
    </row>
    <row r="55" spans="1:6" ht="30">
      <c r="A55" s="12" t="s">
        <v>658</v>
      </c>
      <c r="B55" s="23" t="s">
        <v>654</v>
      </c>
      <c r="C55" s="16" t="s">
        <v>659</v>
      </c>
      <c r="E55" s="14" t="s">
        <v>660</v>
      </c>
      <c r="F55" s="8" t="s">
        <v>661</v>
      </c>
    </row>
    <row r="56" spans="1:6">
      <c r="A56" s="12" t="s">
        <v>662</v>
      </c>
      <c r="B56" s="23" t="s">
        <v>654</v>
      </c>
      <c r="E56" s="14" t="s">
        <v>663</v>
      </c>
      <c r="F56" s="8" t="s">
        <v>664</v>
      </c>
    </row>
    <row r="57" spans="1:6" ht="60">
      <c r="A57" s="12" t="s">
        <v>665</v>
      </c>
      <c r="B57" s="23" t="s">
        <v>643</v>
      </c>
      <c r="E57" s="14" t="s">
        <v>666</v>
      </c>
      <c r="F57" s="8" t="s">
        <v>667</v>
      </c>
    </row>
    <row r="58" spans="1:6" ht="60">
      <c r="A58" s="12" t="s">
        <v>668</v>
      </c>
      <c r="B58" s="23" t="s">
        <v>643</v>
      </c>
      <c r="E58" s="14" t="s">
        <v>669</v>
      </c>
      <c r="F58" s="8" t="s">
        <v>670</v>
      </c>
    </row>
    <row r="59" spans="1:6" ht="45">
      <c r="A59" s="12" t="s">
        <v>671</v>
      </c>
      <c r="B59" s="21" t="s">
        <v>621</v>
      </c>
      <c r="E59" s="14" t="s">
        <v>672</v>
      </c>
      <c r="F59" s="8" t="s">
        <v>673</v>
      </c>
    </row>
    <row r="60" spans="1:6" ht="45">
      <c r="A60" s="12" t="s">
        <v>674</v>
      </c>
      <c r="B60" s="23" t="s">
        <v>675</v>
      </c>
      <c r="E60" s="14" t="s">
        <v>676</v>
      </c>
      <c r="F60" s="8" t="s">
        <v>677</v>
      </c>
    </row>
    <row r="61" spans="1:6" ht="45">
      <c r="A61" s="12" t="s">
        <v>678</v>
      </c>
      <c r="B61" s="23" t="s">
        <v>675</v>
      </c>
      <c r="E61" s="14" t="s">
        <v>679</v>
      </c>
      <c r="F61" s="8" t="s">
        <v>680</v>
      </c>
    </row>
    <row r="62" spans="1:6" ht="45">
      <c r="A62" s="12" t="s">
        <v>681</v>
      </c>
      <c r="B62" s="23" t="s">
        <v>675</v>
      </c>
      <c r="E62" s="14" t="s">
        <v>682</v>
      </c>
      <c r="F62" s="8" t="s">
        <v>683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126A-E50F-4373-9159-5B9100CAC9A2}">
  <dimension ref="A1:H22"/>
  <sheetViews>
    <sheetView workbookViewId="0">
      <selection activeCell="B1" sqref="B1"/>
    </sheetView>
  </sheetViews>
  <sheetFormatPr defaultRowHeight="15"/>
  <cols>
    <col min="2" max="2" width="22" bestFit="1" customWidth="1"/>
    <col min="4" max="4" width="18.140625" bestFit="1" customWidth="1"/>
    <col min="8" max="8" width="85.42578125" customWidth="1"/>
  </cols>
  <sheetData>
    <row r="1" spans="1:6">
      <c r="A1" t="s">
        <v>684</v>
      </c>
      <c r="B1" t="s">
        <v>0</v>
      </c>
      <c r="C1" t="s">
        <v>685</v>
      </c>
      <c r="D1" t="s">
        <v>686</v>
      </c>
      <c r="E1" t="s">
        <v>687</v>
      </c>
      <c r="F1" t="s">
        <v>688</v>
      </c>
    </row>
    <row r="2" spans="1:6">
      <c r="B2" t="s">
        <v>689</v>
      </c>
      <c r="C2" t="s">
        <v>690</v>
      </c>
      <c r="D2" t="s">
        <v>691</v>
      </c>
    </row>
    <row r="3" spans="1:6">
      <c r="B3" t="s">
        <v>692</v>
      </c>
      <c r="C3" t="s">
        <v>690</v>
      </c>
      <c r="D3" t="s">
        <v>693</v>
      </c>
    </row>
    <row r="4" spans="1:6">
      <c r="B4" t="s">
        <v>694</v>
      </c>
      <c r="C4" t="s">
        <v>690</v>
      </c>
      <c r="D4" t="s">
        <v>695</v>
      </c>
    </row>
    <row r="5" spans="1:6">
      <c r="B5" t="s">
        <v>696</v>
      </c>
      <c r="C5" t="s">
        <v>690</v>
      </c>
      <c r="D5" t="s">
        <v>693</v>
      </c>
      <c r="F5" t="s">
        <v>697</v>
      </c>
    </row>
    <row r="6" spans="1:6">
      <c r="B6" t="s">
        <v>698</v>
      </c>
      <c r="C6" t="s">
        <v>690</v>
      </c>
      <c r="D6" t="s">
        <v>693</v>
      </c>
    </row>
    <row r="7" spans="1:6">
      <c r="B7" t="s">
        <v>699</v>
      </c>
      <c r="C7" t="s">
        <v>700</v>
      </c>
      <c r="D7" t="s">
        <v>701</v>
      </c>
    </row>
    <row r="8" spans="1:6">
      <c r="B8" t="s">
        <v>702</v>
      </c>
      <c r="C8" t="s">
        <v>700</v>
      </c>
      <c r="D8" t="s">
        <v>703</v>
      </c>
    </row>
    <row r="9" spans="1:6">
      <c r="B9" t="s">
        <v>704</v>
      </c>
      <c r="C9" t="s">
        <v>700</v>
      </c>
      <c r="D9" t="s">
        <v>703</v>
      </c>
    </row>
    <row r="10" spans="1:6">
      <c r="B10" t="s">
        <v>705</v>
      </c>
      <c r="C10" t="s">
        <v>700</v>
      </c>
      <c r="D10" t="s">
        <v>703</v>
      </c>
    </row>
    <row r="11" spans="1:6">
      <c r="B11" t="s">
        <v>706</v>
      </c>
      <c r="C11" t="s">
        <v>700</v>
      </c>
      <c r="D11" t="s">
        <v>701</v>
      </c>
    </row>
    <row r="12" spans="1:6">
      <c r="B12" t="s">
        <v>707</v>
      </c>
      <c r="C12" t="s">
        <v>700</v>
      </c>
      <c r="D12" t="s">
        <v>701</v>
      </c>
    </row>
    <row r="13" spans="1:6">
      <c r="B13" t="s">
        <v>708</v>
      </c>
      <c r="C13" t="s">
        <v>700</v>
      </c>
      <c r="D13" t="s">
        <v>701</v>
      </c>
    </row>
    <row r="14" spans="1:6">
      <c r="B14" t="s">
        <v>709</v>
      </c>
      <c r="C14" t="s">
        <v>700</v>
      </c>
      <c r="D14" t="s">
        <v>701</v>
      </c>
    </row>
    <row r="15" spans="1:6">
      <c r="B15" t="s">
        <v>710</v>
      </c>
      <c r="C15" t="s">
        <v>700</v>
      </c>
      <c r="D15" t="s">
        <v>701</v>
      </c>
    </row>
    <row r="16" spans="1:6">
      <c r="B16" t="s">
        <v>711</v>
      </c>
      <c r="C16" t="s">
        <v>700</v>
      </c>
      <c r="D16" t="s">
        <v>701</v>
      </c>
    </row>
    <row r="17" spans="2:8">
      <c r="B17" t="s">
        <v>712</v>
      </c>
      <c r="C17" t="s">
        <v>700</v>
      </c>
      <c r="D17" t="s">
        <v>701</v>
      </c>
    </row>
    <row r="18" spans="2:8">
      <c r="B18" t="s">
        <v>713</v>
      </c>
      <c r="C18" t="s">
        <v>714</v>
      </c>
      <c r="D18" t="s">
        <v>701</v>
      </c>
    </row>
    <row r="19" spans="2:8">
      <c r="B19" t="s">
        <v>715</v>
      </c>
      <c r="C19" t="s">
        <v>714</v>
      </c>
      <c r="D19" t="s">
        <v>701</v>
      </c>
    </row>
    <row r="20" spans="2:8">
      <c r="B20" t="s">
        <v>716</v>
      </c>
      <c r="C20" t="s">
        <v>714</v>
      </c>
      <c r="D20" t="s">
        <v>701</v>
      </c>
    </row>
    <row r="22" spans="2:8">
      <c r="H22" s="16"/>
    </row>
  </sheetData>
  <autoFilter ref="A1:F20" xr:uid="{6B8D126A-E50F-4373-9159-5B9100CAC9A2}">
    <sortState xmlns:xlrd2="http://schemas.microsoft.com/office/spreadsheetml/2017/richdata2" ref="A2:F20">
      <sortCondition ref="C1:C20"/>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728D-8DC4-43CB-A2BE-8E22F440F4CC}">
  <dimension ref="A1:H21"/>
  <sheetViews>
    <sheetView workbookViewId="0">
      <selection activeCell="I9" sqref="A9:I9"/>
    </sheetView>
  </sheetViews>
  <sheetFormatPr defaultRowHeight="15"/>
  <cols>
    <col min="1" max="1" width="22" bestFit="1" customWidth="1"/>
    <col min="2" max="2" width="9" bestFit="1" customWidth="1"/>
    <col min="3" max="3" width="8.28515625" bestFit="1" customWidth="1"/>
    <col min="4" max="4" width="13.7109375" bestFit="1" customWidth="1"/>
    <col min="5" max="5" width="10.5703125" bestFit="1" customWidth="1"/>
    <col min="6" max="6" width="9.5703125" bestFit="1" customWidth="1"/>
    <col min="7" max="7" width="7" bestFit="1" customWidth="1"/>
    <col min="8" max="8" width="9.5703125" bestFit="1" customWidth="1"/>
  </cols>
  <sheetData>
    <row r="1" spans="1:8">
      <c r="A1" s="28" t="s">
        <v>717</v>
      </c>
      <c r="B1" s="39" t="s">
        <v>47</v>
      </c>
      <c r="C1" s="40"/>
      <c r="D1" s="40"/>
      <c r="E1" s="40"/>
      <c r="F1" s="40"/>
      <c r="G1" s="40"/>
      <c r="H1" s="41"/>
    </row>
    <row r="2" spans="1:8">
      <c r="A2" s="29" t="s">
        <v>689</v>
      </c>
      <c r="B2" t="s">
        <v>718</v>
      </c>
      <c r="C2" t="s">
        <v>719</v>
      </c>
      <c r="D2" t="s">
        <v>720</v>
      </c>
      <c r="H2" s="25"/>
    </row>
    <row r="3" spans="1:8">
      <c r="A3" s="29" t="s">
        <v>692</v>
      </c>
      <c r="B3" t="s">
        <v>718</v>
      </c>
      <c r="C3" t="s">
        <v>719</v>
      </c>
      <c r="D3" t="s">
        <v>720</v>
      </c>
      <c r="H3" s="25"/>
    </row>
    <row r="4" spans="1:8">
      <c r="A4" s="29" t="s">
        <v>694</v>
      </c>
      <c r="B4" t="s">
        <v>721</v>
      </c>
      <c r="C4" t="s">
        <v>722</v>
      </c>
      <c r="D4" t="s">
        <v>720</v>
      </c>
      <c r="E4" t="s">
        <v>723</v>
      </c>
      <c r="F4" t="s">
        <v>724</v>
      </c>
      <c r="G4" t="s">
        <v>725</v>
      </c>
      <c r="H4" s="25"/>
    </row>
    <row r="5" spans="1:8">
      <c r="A5" s="29" t="s">
        <v>696</v>
      </c>
      <c r="B5" t="s">
        <v>718</v>
      </c>
      <c r="H5" s="25"/>
    </row>
    <row r="6" spans="1:8">
      <c r="A6" s="29" t="s">
        <v>698</v>
      </c>
      <c r="B6" t="s">
        <v>718</v>
      </c>
      <c r="C6" t="s">
        <v>719</v>
      </c>
      <c r="D6" t="s">
        <v>726</v>
      </c>
      <c r="H6" s="25"/>
    </row>
    <row r="7" spans="1:8">
      <c r="A7" s="29" t="s">
        <v>699</v>
      </c>
      <c r="B7" t="s">
        <v>718</v>
      </c>
      <c r="C7" t="s">
        <v>719</v>
      </c>
      <c r="D7" t="s">
        <v>726</v>
      </c>
      <c r="E7" t="s">
        <v>727</v>
      </c>
      <c r="H7" s="25"/>
    </row>
    <row r="8" spans="1:8">
      <c r="A8" s="29" t="s">
        <v>702</v>
      </c>
      <c r="B8" t="s">
        <v>728</v>
      </c>
      <c r="C8" t="s">
        <v>729</v>
      </c>
      <c r="D8" t="s">
        <v>730</v>
      </c>
      <c r="H8" s="25"/>
    </row>
    <row r="9" spans="1:8">
      <c r="A9" s="29" t="s">
        <v>704</v>
      </c>
      <c r="B9" t="s">
        <v>728</v>
      </c>
      <c r="C9" t="s">
        <v>729</v>
      </c>
      <c r="H9" s="25"/>
    </row>
    <row r="10" spans="1:8">
      <c r="A10" s="29" t="s">
        <v>705</v>
      </c>
      <c r="B10" t="s">
        <v>728</v>
      </c>
      <c r="C10" t="s">
        <v>729</v>
      </c>
      <c r="D10" t="s">
        <v>730</v>
      </c>
      <c r="H10" s="25"/>
    </row>
    <row r="11" spans="1:8">
      <c r="A11" s="29" t="s">
        <v>706</v>
      </c>
      <c r="B11" t="s">
        <v>731</v>
      </c>
      <c r="C11" t="s">
        <v>732</v>
      </c>
      <c r="D11" t="s">
        <v>733</v>
      </c>
      <c r="H11" s="25"/>
    </row>
    <row r="12" spans="1:8">
      <c r="A12" s="29" t="s">
        <v>707</v>
      </c>
      <c r="B12" t="s">
        <v>731</v>
      </c>
      <c r="C12" t="s">
        <v>734</v>
      </c>
      <c r="D12" t="s">
        <v>735</v>
      </c>
      <c r="E12" t="s">
        <v>719</v>
      </c>
      <c r="F12" t="s">
        <v>726</v>
      </c>
      <c r="G12" t="s">
        <v>727</v>
      </c>
      <c r="H12" s="25"/>
    </row>
    <row r="13" spans="1:8">
      <c r="A13" s="29" t="s">
        <v>708</v>
      </c>
      <c r="B13" t="s">
        <v>731</v>
      </c>
      <c r="C13" t="s">
        <v>734</v>
      </c>
      <c r="D13" t="s">
        <v>735</v>
      </c>
      <c r="E13" t="s">
        <v>719</v>
      </c>
      <c r="F13" t="s">
        <v>726</v>
      </c>
      <c r="G13" t="s">
        <v>727</v>
      </c>
      <c r="H13" s="25"/>
    </row>
    <row r="14" spans="1:8">
      <c r="A14" s="29" t="s">
        <v>709</v>
      </c>
      <c r="B14" t="s">
        <v>731</v>
      </c>
      <c r="C14" t="s">
        <v>734</v>
      </c>
      <c r="D14" t="s">
        <v>733</v>
      </c>
      <c r="E14" t="s">
        <v>736</v>
      </c>
      <c r="F14" t="s">
        <v>719</v>
      </c>
      <c r="G14" t="s">
        <v>727</v>
      </c>
      <c r="H14" s="25" t="s">
        <v>726</v>
      </c>
    </row>
    <row r="15" spans="1:8">
      <c r="A15" s="29" t="s">
        <v>710</v>
      </c>
      <c r="B15" t="s">
        <v>731</v>
      </c>
      <c r="C15" t="s">
        <v>734</v>
      </c>
      <c r="D15" t="s">
        <v>733</v>
      </c>
      <c r="E15" t="s">
        <v>719</v>
      </c>
      <c r="F15" t="s">
        <v>737</v>
      </c>
      <c r="G15" t="s">
        <v>727</v>
      </c>
      <c r="H15" s="25"/>
    </row>
    <row r="16" spans="1:8">
      <c r="A16" s="29" t="s">
        <v>711</v>
      </c>
      <c r="B16" t="s">
        <v>731</v>
      </c>
      <c r="C16" t="s">
        <v>734</v>
      </c>
      <c r="D16" t="s">
        <v>733</v>
      </c>
      <c r="E16" t="s">
        <v>719</v>
      </c>
      <c r="F16" t="s">
        <v>737</v>
      </c>
      <c r="G16" t="s">
        <v>727</v>
      </c>
      <c r="H16" s="25"/>
    </row>
    <row r="17" spans="1:8">
      <c r="A17" s="29" t="s">
        <v>712</v>
      </c>
      <c r="B17" t="s">
        <v>731</v>
      </c>
      <c r="C17" t="s">
        <v>734</v>
      </c>
      <c r="E17" t="s">
        <v>719</v>
      </c>
      <c r="H17" s="25"/>
    </row>
    <row r="18" spans="1:8">
      <c r="A18" s="29" t="s">
        <v>713</v>
      </c>
      <c r="B18" t="s">
        <v>738</v>
      </c>
      <c r="C18" t="s">
        <v>729</v>
      </c>
      <c r="H18" s="25"/>
    </row>
    <row r="19" spans="1:8">
      <c r="A19" s="29" t="s">
        <v>715</v>
      </c>
      <c r="B19" t="s">
        <v>739</v>
      </c>
      <c r="C19" t="s">
        <v>740</v>
      </c>
      <c r="D19" t="s">
        <v>741</v>
      </c>
      <c r="H19" s="25"/>
    </row>
    <row r="20" spans="1:8">
      <c r="A20" s="29" t="s">
        <v>716</v>
      </c>
      <c r="B20" t="s">
        <v>731</v>
      </c>
      <c r="C20" t="s">
        <v>734</v>
      </c>
      <c r="D20" t="s">
        <v>733</v>
      </c>
      <c r="E20" t="s">
        <v>736</v>
      </c>
      <c r="F20" t="s">
        <v>719</v>
      </c>
      <c r="G20" t="s">
        <v>727</v>
      </c>
      <c r="H20" s="25" t="s">
        <v>726</v>
      </c>
    </row>
    <row r="21" spans="1:8">
      <c r="A21" s="30" t="s">
        <v>742</v>
      </c>
      <c r="B21" s="26" t="s">
        <v>743</v>
      </c>
      <c r="C21" s="26"/>
      <c r="D21" s="26"/>
      <c r="E21" s="26"/>
      <c r="F21" s="26"/>
      <c r="G21" s="26"/>
      <c r="H21" s="27"/>
    </row>
  </sheetData>
  <mergeCells count="1">
    <mergeCell ref="B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1F78A46A5B61544A3F5E5F9D558353B" ma:contentTypeVersion="10" ma:contentTypeDescription="Create a new document." ma:contentTypeScope="" ma:versionID="cd5889db134979e54dcf054cdc4727ec">
  <xsd:schema xmlns:xsd="http://www.w3.org/2001/XMLSchema" xmlns:xs="http://www.w3.org/2001/XMLSchema" xmlns:p="http://schemas.microsoft.com/office/2006/metadata/properties" xmlns:ns2="a7019f60-298e-442e-b6f6-687001478962" xmlns:ns3="244a3a2d-c3b8-4eaa-9334-4c3b8cbc7cc9" targetNamespace="http://schemas.microsoft.com/office/2006/metadata/properties" ma:root="true" ma:fieldsID="fdf5543a8e45e11fa247a01810ff6e7b" ns2:_="" ns3:_="">
    <xsd:import namespace="a7019f60-298e-442e-b6f6-687001478962"/>
    <xsd:import namespace="244a3a2d-c3b8-4eaa-9334-4c3b8cbc7c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019f60-298e-442e-b6f6-6870014789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4a3a2d-c3b8-4eaa-9334-4c3b8cbc7c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1D98BA-C602-41F7-9CF6-ADC2B2B0572D}"/>
</file>

<file path=customXml/itemProps2.xml><?xml version="1.0" encoding="utf-8"?>
<ds:datastoreItem xmlns:ds="http://schemas.openxmlformats.org/officeDocument/2006/customXml" ds:itemID="{221E8208-2559-4473-AFD3-FB4000FD0DD1}"/>
</file>

<file path=customXml/itemProps3.xml><?xml version="1.0" encoding="utf-8"?>
<ds:datastoreItem xmlns:ds="http://schemas.openxmlformats.org/officeDocument/2006/customXml" ds:itemID="{51BB428E-D1CA-47E8-B784-F33B49A13D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Irvine</dc:creator>
  <cp:keywords/>
  <dc:description/>
  <cp:lastModifiedBy/>
  <cp:revision/>
  <dcterms:created xsi:type="dcterms:W3CDTF">2025-02-10T20:27:01Z</dcterms:created>
  <dcterms:modified xsi:type="dcterms:W3CDTF">2025-08-05T21:31:48Z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0x010100D1F78A46A5B61544A3F5E5F9D558353B</vt:lpwstr>
  </property>
  <property fmtid="{D5CDD505-2E9C-101B-9397-08002B2CF9AE}" pid="4" name="MSIP_Label_55818d02-8d25-4bb9-b27c-e4db64670887_Enabled">
    <vt:lpwstr>true</vt:lpwstr>
  </property>
  <property fmtid="{D5CDD505-2E9C-101B-9397-08002B2CF9AE}" pid="5" name="MSIP_Label_55818d02-8d25-4bb9-b27c-e4db64670887_SetDate">
    <vt:lpwstr>2025-06-11T07:07:58Z</vt:lpwstr>
  </property>
  <property fmtid="{D5CDD505-2E9C-101B-9397-08002B2CF9AE}" pid="6" name="MSIP_Label_55818d02-8d25-4bb9-b27c-e4db64670887_Method">
    <vt:lpwstr>Standard</vt:lpwstr>
  </property>
  <property fmtid="{D5CDD505-2E9C-101B-9397-08002B2CF9AE}" pid="7" name="MSIP_Label_55818d02-8d25-4bb9-b27c-e4db64670887_Name">
    <vt:lpwstr>55818d02-8d25-4bb9-b27c-e4db64670887</vt:lpwstr>
  </property>
  <property fmtid="{D5CDD505-2E9C-101B-9397-08002B2CF9AE}" pid="8" name="MSIP_Label_55818d02-8d25-4bb9-b27c-e4db64670887_SiteId">
    <vt:lpwstr>a7f35688-9c00-4d5e-ba41-29f146377ab0</vt:lpwstr>
  </property>
  <property fmtid="{D5CDD505-2E9C-101B-9397-08002B2CF9AE}" pid="9" name="MSIP_Label_55818d02-8d25-4bb9-b27c-e4db64670887_ActionId">
    <vt:lpwstr>723af25a-0ced-48c6-8494-35d88b3862ec</vt:lpwstr>
  </property>
  <property fmtid="{D5CDD505-2E9C-101B-9397-08002B2CF9AE}" pid="10" name="MSIP_Label_55818d02-8d25-4bb9-b27c-e4db64670887_ContentBits">
    <vt:lpwstr>0</vt:lpwstr>
  </property>
  <property fmtid="{D5CDD505-2E9C-101B-9397-08002B2CF9AE}" pid="11" name="MSIP_Label_55818d02-8d25-4bb9-b27c-e4db64670887_Tag">
    <vt:lpwstr>10, 3, 0, 2</vt:lpwstr>
  </property>
</Properties>
</file>