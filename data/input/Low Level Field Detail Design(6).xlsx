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12"/>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Data Engineering/"/>
    </mc:Choice>
  </mc:AlternateContent>
  <xr:revisionPtr revIDLastSave="0" documentId="8_{CA6B9540-07E2-4BC7-BE4A-5E7C961D53C2}" xr6:coauthVersionLast="47" xr6:coauthVersionMax="47" xr10:uidLastSave="{00000000-0000-0000-0000-000000000000}"/>
  <bookViews>
    <workbookView xWindow="-110" yWindow="-110" windowWidth="22780" windowHeight="14540" xr2:uid="{EFC15C39-DC71-4D84-BB64-C304B1E6FB49}"/>
  </bookViews>
  <sheets>
    <sheet name="objects" sheetId="1" r:id="rId1"/>
    <sheet name="Attributes" sheetId="2" r:id="rId2"/>
    <sheet name="Sheet1" sheetId="6" r:id="rId3"/>
    <sheet name="Aggregations and Calculations" sheetId="3" r:id="rId4"/>
    <sheet name="Channels" sheetId="4" r:id="rId5"/>
    <sheet name="Interaction Types" sheetId="5" r:id="rId6"/>
  </sheets>
  <definedNames>
    <definedName name="_xlnm._FilterDatabase" localSheetId="1" hidden="1">Attributes!$A$1:$J$167</definedName>
    <definedName name="_xlnm._FilterDatabase" localSheetId="4" hidden="1">Channels!$A$1:$F$22</definedName>
    <definedName name="_xlnm._FilterDatabase" localSheetId="0" hidden="1">objects!$A$1:$M$1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 i="4" l="1"/>
  <c r="B22" i="5"/>
  <c r="B23" i="5"/>
  <c r="J22" i="5"/>
  <c r="J23" i="5"/>
  <c r="H22" i="4"/>
  <c r="H21" i="4"/>
  <c r="H20" i="4"/>
  <c r="H19" i="4"/>
  <c r="H18" i="4"/>
  <c r="H17" i="4"/>
  <c r="H16" i="4"/>
  <c r="H15" i="4"/>
  <c r="H14" i="4"/>
  <c r="H13" i="4"/>
  <c r="H12" i="4"/>
  <c r="H11" i="4"/>
  <c r="H10" i="4"/>
  <c r="H9" i="4"/>
  <c r="H8" i="4"/>
  <c r="H7" i="4"/>
  <c r="H6" i="4"/>
  <c r="H5" i="4"/>
  <c r="H4" i="4"/>
  <c r="H3" i="4"/>
  <c r="H2" i="4"/>
  <c r="B21" i="5"/>
  <c r="B20" i="5"/>
  <c r="B19" i="5"/>
  <c r="B18" i="5"/>
  <c r="B17" i="5"/>
  <c r="B16" i="5"/>
  <c r="B15" i="5"/>
  <c r="B14" i="5"/>
  <c r="B13" i="5"/>
  <c r="B12" i="5"/>
  <c r="B11" i="5"/>
  <c r="B10" i="5"/>
  <c r="B9" i="5"/>
  <c r="B8" i="5"/>
  <c r="B7" i="5"/>
  <c r="B6" i="5"/>
  <c r="B5" i="5"/>
  <c r="B4" i="5"/>
  <c r="B3" i="5"/>
  <c r="B2" i="5"/>
  <c r="J20" i="5"/>
  <c r="J19" i="5"/>
  <c r="J18" i="5"/>
  <c r="J17" i="5"/>
  <c r="J16" i="5"/>
  <c r="J15" i="5"/>
  <c r="J14" i="5"/>
  <c r="J13" i="5"/>
  <c r="J12" i="5"/>
  <c r="J11" i="5"/>
  <c r="J10" i="5"/>
  <c r="J9" i="5"/>
  <c r="J8" i="5"/>
  <c r="J7" i="5"/>
  <c r="J6" i="5"/>
  <c r="J5" i="5"/>
  <c r="J4" i="5"/>
  <c r="J3" i="5"/>
  <c r="J2" i="5"/>
  <c r="J21" i="5"/>
  <c r="N9" i="6"/>
  <c r="N8" i="6"/>
  <c r="N7" i="6"/>
  <c r="N6" i="6"/>
  <c r="N5" i="6"/>
  <c r="N4" i="6"/>
  <c r="N3" i="6"/>
  <c r="N2" i="6"/>
  <c r="G18" i="1"/>
  <c r="G17" i="1"/>
  <c r="G16" i="1"/>
  <c r="G15" i="1"/>
  <c r="G14" i="1"/>
  <c r="G13" i="1"/>
  <c r="G12" i="1"/>
  <c r="G11" i="1"/>
  <c r="G10" i="1"/>
  <c r="G9" i="1"/>
  <c r="G8" i="1"/>
  <c r="G7" i="1"/>
  <c r="G6" i="1"/>
  <c r="G5" i="1"/>
  <c r="G4" i="1"/>
  <c r="G3" i="1"/>
  <c r="G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tc={8497C7DA-1239-4373-88D7-CCD3FD1374B1}</author>
    <author>tc={B341755A-7D9C-4B12-B3E8-F721DABD8A3A}</author>
  </authors>
  <commentList>
    <comment ref="B20"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1"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39"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43"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45"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61" authorId="5"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C92" authorId="6" shapeId="0" xr:uid="{B341755A-7D9C-4B12-B3E8-F721DABD8A3A}">
      <text>
        <t xml:space="preserve">[Threaded comment]
Your version of Excel allows you to read this threaded comment; however, any edits to it will get removed if the file is opened in a newer version of Excel. Learn more: https://go.microsoft.com/fwlink/?linkid=870924
Comment:
    @David Irvine 
example please . is it a available field in existing Marketo Activities?
</t>
      </text>
    </comment>
  </commentList>
</comments>
</file>

<file path=xl/sharedStrings.xml><?xml version="1.0" encoding="utf-8"?>
<sst xmlns="http://schemas.openxmlformats.org/spreadsheetml/2006/main" count="1290" uniqueCount="793">
  <si>
    <t>Name</t>
  </si>
  <si>
    <t>Generation Method</t>
  </si>
  <si>
    <t>Description</t>
  </si>
  <si>
    <t>Purpose (Attribution)</t>
  </si>
  <si>
    <t>*Purpose (Analytics)</t>
  </si>
  <si>
    <t>Granularity</t>
  </si>
  <si>
    <t>Field Count</t>
  </si>
  <si>
    <t>generate?</t>
  </si>
  <si>
    <t>generation_order</t>
  </si>
  <si>
    <t>Generate_Rows</t>
  </si>
  <si>
    <t xml:space="preserve">existing consumption project </t>
  </si>
  <si>
    <t>bps_roi_rw</t>
  </si>
  <si>
    <t>extend the views/objects</t>
  </si>
  <si>
    <t>Campaigns</t>
  </si>
  <si>
    <t>Source System</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</si>
  <si>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</si>
  <si>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</si>
  <si>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</si>
  <si>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</si>
  <si>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y</t>
  </si>
  <si>
    <t>bps_roi_ro/DSS(Archect review Qlik)</t>
  </si>
  <si>
    <t>Channels</t>
  </si>
  <si>
    <t>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</si>
  <si>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</si>
  <si>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</si>
  <si>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</si>
  <si>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</si>
  <si>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Y</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</si>
  <si>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</si>
  <si>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</si>
  <si>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</si>
  <si>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</si>
  <si>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</si>
  <si>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</si>
  <si>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</si>
  <si>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</si>
  <si>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</si>
  <si>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</si>
  <si>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</si>
  <si>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</si>
  <si>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</si>
  <si>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</si>
  <si>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Marketing Activity</t>
  </si>
  <si>
    <t>Outbound, proactive, targeted distribution of marketing assets (e.g., emails, calls, direct mail).
Or
Organic, content-driven strategies that attract and engage audiences on their own terms (e.g., social posts, billboards, website content).</t>
  </si>
  <si>
    <t>This Identifies the actions that BT Carries out and is ultimately the most granular element of Marketing activity that BT can optimise.</t>
  </si>
  <si>
    <t>Again this is a baseline for the marketing activity that has been carried out by BT.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</si>
  <si>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
OR
Each Row represents a BT action to any number of people. Each action should have a Time or a timeframe where it would be consistantly showing the same asset.
Given the audience is Unknown one row here might have multiple engagements from Multiple Individuals or Companies.</t>
  </si>
  <si>
    <t>Interactions</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</si>
  <si>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</si>
  <si>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</si>
  <si>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</si>
  <si>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</si>
  <si>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</si>
  <si>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</si>
  <si>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</si>
  <si>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</si>
  <si>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</si>
  <si>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</si>
  <si>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Dependant</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</si>
  <si>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</si>
  <si>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</si>
  <si>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</si>
  <si>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</si>
  <si>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</si>
  <si>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</si>
  <si>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</si>
  <si>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</si>
  <si>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</si>
  <si>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</si>
  <si>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</si>
  <si>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</si>
  <si>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</si>
  <si>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</si>
  <si>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</si>
  <si>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</si>
  <si>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</si>
  <si>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</si>
  <si>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</si>
  <si>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</si>
  <si>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</si>
  <si>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</si>
  <si>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</si>
  <si>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n</t>
  </si>
  <si>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</si>
  <si>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</si>
  <si>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</si>
  <si>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</si>
  <si>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</si>
  <si>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</si>
  <si>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</si>
  <si>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</si>
  <si>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</si>
  <si>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</si>
  <si>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</si>
  <si>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</si>
  <si>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</si>
  <si>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</si>
  <si>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</si>
  <si>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</si>
  <si>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</si>
  <si>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</si>
  <si>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</si>
  <si>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</si>
  <si>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</si>
  <si>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</si>
  <si>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</si>
  <si>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</si>
  <si>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</si>
  <si>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</si>
  <si>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</si>
  <si>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</si>
  <si>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Object</t>
  </si>
  <si>
    <t>Purpose(modelling)</t>
  </si>
  <si>
    <t>Purpose(Analytics)</t>
  </si>
  <si>
    <t>Format</t>
  </si>
  <si>
    <t>Example Values</t>
  </si>
  <si>
    <t>Tokenised</t>
  </si>
  <si>
    <t>Tokenised Reason</t>
  </si>
  <si>
    <t>Requirement</t>
  </si>
  <si>
    <t>link_id</t>
  </si>
  <si>
    <t>Unique Identifier for this particular link</t>
  </si>
  <si>
    <t>PK</t>
  </si>
  <si>
    <t>activity_id</t>
  </si>
  <si>
    <t>Identifies the specific marketing activity being linked</t>
  </si>
  <si>
    <t>FK -&gt; Activity.Activity_ID</t>
  </si>
  <si>
    <t>interaction_id</t>
  </si>
  <si>
    <t>Identifies the specific interaction that is being linked</t>
  </si>
  <si>
    <t>FK -&gt; Interaction.Interaction_ID</t>
  </si>
  <si>
    <t>outcome_type</t>
  </si>
  <si>
    <t>Identifies which outcome table is being linked</t>
  </si>
  <si>
    <t>Picklist</t>
  </si>
  <si>
    <t>outcome_id</t>
  </si>
  <si>
    <t>Identifies the specific outcome within that table that is linked.</t>
  </si>
  <si>
    <t>FK -&gt; Outcome_Type.Outcome_ID</t>
  </si>
  <si>
    <t>company_id</t>
  </si>
  <si>
    <t>Identifies the company that carried out the interaction and is related to the outcome.</t>
  </si>
  <si>
    <t>FK -&gt; Company.Company_ID</t>
  </si>
  <si>
    <t>person_id</t>
  </si>
  <si>
    <t>Identifies the Person related to the activity or interaction.</t>
  </si>
  <si>
    <t>FK -&gt; Person.Person_ID</t>
  </si>
  <si>
    <t>relation_type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</si>
  <si>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</si>
  <si>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</si>
  <si>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time_lag</t>
  </si>
  <si>
    <t>Time Between the Activity and the outcome * modelling may prefer to calculate from source fields.</t>
  </si>
  <si>
    <t>Time Difference</t>
  </si>
  <si>
    <t>model_output_id</t>
  </si>
  <si>
    <t>Unique Identifier for the model output given for this link and model.</t>
  </si>
  <si>
    <t>ID - PK</t>
  </si>
  <si>
    <t>Which is the link this result relates to</t>
  </si>
  <si>
    <t>ID - FK</t>
  </si>
  <si>
    <t>model_id</t>
  </si>
  <si>
    <t>Which Model has provided this result</t>
  </si>
  <si>
    <t>attribution_weight</t>
  </si>
  <si>
    <t>What is the proportion of the outcome that was caused by the activity as calculated by the model.</t>
  </si>
  <si>
    <t>Float</t>
  </si>
  <si>
    <t>Attrribution Model</t>
  </si>
  <si>
    <t>Unique Identifier for the model</t>
  </si>
  <si>
    <t>model_name</t>
  </si>
  <si>
    <t>Name given the the model</t>
  </si>
  <si>
    <t>String</t>
  </si>
  <si>
    <t>V01.0_Rules_Based_with_Guardrails</t>
  </si>
  <si>
    <t>model_start_date</t>
  </si>
  <si>
    <t>When was the model usable from</t>
  </si>
  <si>
    <t>Date</t>
  </si>
  <si>
    <t>model_end_date</t>
  </si>
  <si>
    <t>When does the model cease to be useable.</t>
  </si>
  <si>
    <t>model_status</t>
  </si>
  <si>
    <t>is the model validated and usable, or retired</t>
  </si>
  <si>
    <t>model_type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</si>
  <si>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</si>
  <si>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</si>
  <si>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</si>
  <si>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</si>
  <si>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outcome_used</t>
  </si>
  <si>
    <t xml:space="preserve">Which outcome is this model Attributing for </t>
  </si>
  <si>
    <t>Raised Orders, Completed Orders, Customer Value Change, Churn, leads, Lead Conversion</t>
  </si>
  <si>
    <t>model_owner</t>
  </si>
  <si>
    <t>Current Owner of the model implimentation</t>
  </si>
  <si>
    <t>Petros</t>
  </si>
  <si>
    <t>campaign_id</t>
  </si>
  <si>
    <t>Primary Identified for a campaign, This could either be the Monday code or a GCP generated ID, using the Monday code as a proxy identifier.</t>
  </si>
  <si>
    <t>campaign_name</t>
  </si>
  <si>
    <t>The Unique business understandable short name of the campaign.</t>
  </si>
  <si>
    <t>created_date</t>
  </si>
  <si>
    <t>Date the Campaign was created (in Monday.com)</t>
  </si>
  <si>
    <t>start_date</t>
  </si>
  <si>
    <t>Date the campaign First went live and it was possible for a person to interact with the campaigns content.</t>
  </si>
  <si>
    <t>end_date</t>
  </si>
  <si>
    <t>Date the campaign finished, the content is no longer being shared and new interactions are either impossible or unlikely.</t>
  </si>
  <si>
    <t>budget_timeframe</t>
  </si>
  <si>
    <t>The Quarter? Budget that was allocated to the development and support of this campaign. TBC this may need to be a Multi Line/ separate object depending on data source.</t>
  </si>
  <si>
    <t>N/A - When budget was allocated shouldn't have any impact of overall campaign attribution</t>
  </si>
  <si>
    <t>Support Views look at Spend vs outcome for appropriate ROI analysis.</t>
  </si>
  <si>
    <t>targeted_audience_id</t>
  </si>
  <si>
    <t>** Might not be directly relevant might primarially be joined via the Activity</t>
  </si>
  <si>
    <t>FK -&gt; Audience.Audience_ID</t>
  </si>
  <si>
    <t>parent_campaign_id</t>
  </si>
  <si>
    <t>Identifies a parent campaign that might encompass multiple child campaigns.</t>
  </si>
  <si>
    <t>Modelling would focus on the lowest level of campaign</t>
  </si>
  <si>
    <t>For grouping and organisation of campaigns as well as handling roleup and agreegation to different levels.</t>
  </si>
  <si>
    <t>FK -&gt;Campaigns.Campaign_ID</t>
  </si>
  <si>
    <t>costs_anticipated</t>
  </si>
  <si>
    <t>Planned Cost of the campaign, How much of the budget has been provisionally allocated.</t>
  </si>
  <si>
    <t>costs_actuals</t>
  </si>
  <si>
    <t>The actual tracked cost for this campaign. TBC if this is just external cost of if there is also an internal effort considered here.</t>
  </si>
  <si>
    <t>outcome_targets</t>
  </si>
  <si>
    <t>Likely Multiple Fields, E.G. Expected uplift in order amounts. TBC with Monday.com setup what is available.</t>
  </si>
  <si>
    <t>N/A</t>
  </si>
  <si>
    <t>Visual to show actuals vs Targets Able to show which campaigns are performing below or above expectations.</t>
  </si>
  <si>
    <t>brand</t>
  </si>
  <si>
    <t>Which Brand is the Campaign Representing</t>
  </si>
  <si>
    <t>Allow limiting or wieghting of attribution based on Brand matching between activity and outcome.</t>
  </si>
  <si>
    <t>Dimension for Filter / Comparison</t>
  </si>
  <si>
    <t>BT Business
EE Business
BT Consumer
EE Consumer</t>
  </si>
  <si>
    <t>business_unit</t>
  </si>
  <si>
    <t>Which Business Unit is the campaign Targeting</t>
  </si>
  <si>
    <t>SMB, CPS, Global</t>
  </si>
  <si>
    <t>dmo_owner</t>
  </si>
  <si>
    <t>Or another table that identifies the roles associated with the campaign.</t>
  </si>
  <si>
    <t>???_owner</t>
  </si>
  <si>
    <t>product_id</t>
  </si>
  <si>
    <t>Identifies the Product the Campaign Is Targeting</t>
  </si>
  <si>
    <t>FK -&gt; Product.Product_ID</t>
  </si>
  <si>
    <t>objective</t>
  </si>
  <si>
    <t>What part of the customer lifecycle is being targeted</t>
  </si>
  <si>
    <t>Welcome
Acquisition
Upsell
Cross-sell
Retention
In-Life
Service
Migration
Out of Contract</t>
  </si>
  <si>
    <t>partner</t>
  </si>
  <si>
    <t>Company that is partnering, supporting, or running the campaign. E.G. a Joint Event with a Vendor.</t>
  </si>
  <si>
    <t>channel_id</t>
  </si>
  <si>
    <t>GCP Generated</t>
  </si>
  <si>
    <t>PK to be referenced by other objects.</t>
  </si>
  <si>
    <t>name</t>
  </si>
  <si>
    <t>Name Representing the channel</t>
  </si>
  <si>
    <t>Used for grouping and comparison within dashboards.</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</si>
  <si>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</si>
  <si>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</si>
  <si>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</si>
  <si>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</si>
  <si>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identifiable_method</t>
  </si>
  <si>
    <t>Describes how  this channels activity can be linked to Orders.</t>
  </si>
  <si>
    <r>
      <rPr>
        <b/>
        <sz val="11"/>
        <color theme="1"/>
        <rFont val="Aptos Narrow"/>
        <family val="2"/>
        <scheme val="minor"/>
      </rPr>
      <t xml:space="preserve">Direct Relationship </t>
    </r>
    <r>
      <rPr>
        <sz val="11"/>
        <color theme="1"/>
        <rFont val="Aptos Narrow"/>
        <family val="2"/>
        <scheme val="minor"/>
      </rPr>
      <t>- There is a Direct chain of actions by the customer linking this activity to the order.</t>
    </r>
    <r>
      <rPr>
        <b/>
        <sz val="11"/>
        <color theme="1"/>
        <rFont val="Aptos Narrow"/>
        <family val="2"/>
        <scheme val="minor"/>
      </rPr>
      <t xml:space="preserve">
Known Person</t>
    </r>
    <r>
      <rPr>
        <sz val="11"/>
        <color theme="1"/>
        <rFont val="Aptos Narrow"/>
        <family val="2"/>
        <scheme val="minor"/>
      </rPr>
      <t xml:space="preserve"> - From outbound targeted communication.
</t>
    </r>
    <r>
      <rPr>
        <b/>
        <sz val="11"/>
        <color theme="1"/>
        <rFont val="Aptos Narrow"/>
        <family val="2"/>
        <scheme val="minor"/>
      </rPr>
      <t xml:space="preserve">Self Identified </t>
    </r>
    <r>
      <rPr>
        <sz val="11"/>
        <color theme="1"/>
        <rFont val="Aptos Narrow"/>
        <family val="2"/>
        <scheme val="minor"/>
      </rPr>
      <t xml:space="preserve">- Person has Identified themselves during engagement.
</t>
    </r>
    <r>
      <rPr>
        <b/>
        <sz val="11"/>
        <color theme="1"/>
        <rFont val="Aptos Narrow"/>
        <family val="2"/>
        <scheme val="minor"/>
      </rPr>
      <t xml:space="preserve">IP Inferred </t>
    </r>
    <r>
      <rPr>
        <sz val="11"/>
        <color theme="1"/>
        <rFont val="Aptos Narrow"/>
        <family val="2"/>
        <scheme val="minor"/>
      </rPr>
      <t xml:space="preserve">- Identified the company through their Visitor IP address
</t>
    </r>
    <r>
      <rPr>
        <b/>
        <sz val="11"/>
        <color theme="1"/>
        <rFont val="Aptos Narrow"/>
        <family val="2"/>
        <scheme val="minor"/>
      </rPr>
      <t>Audience Inferred</t>
    </r>
    <r>
      <rPr>
        <sz val="11"/>
        <color theme="1"/>
        <rFont val="Aptos Narrow"/>
        <family val="2"/>
        <scheme val="minor"/>
      </rPr>
      <t xml:space="preserve"> - Identified the company through Target audience inference.</t>
    </r>
  </si>
  <si>
    <t>type</t>
  </si>
  <si>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</si>
  <si>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</si>
  <si>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Unique Identifier for the Interaction</t>
  </si>
  <si>
    <t>What was the type of intereaction. E.G. Open, Click, Visit, Call,…</t>
  </si>
  <si>
    <t>date</t>
  </si>
  <si>
    <t>When did this interaction happen.</t>
  </si>
  <si>
    <t>duration</t>
  </si>
  <si>
    <t>How long did the interaction last.</t>
  </si>
  <si>
    <t>INTERVAL</t>
  </si>
  <si>
    <t>1-2 3 4:5:6.789999
https://cloud.google.com/bigquery/docs/reference/standard-sql/interval_functions</t>
  </si>
  <si>
    <t>follow_from_interaction</t>
  </si>
  <si>
    <t>If interaction came from a separate interaction. I.E. click on link -&gt; View Webpage -&gt; Submit Form</t>
  </si>
  <si>
    <t>What was the Activity this interaction is related to.</t>
  </si>
  <si>
    <t>Optional Needs One of person or company</t>
  </si>
  <si>
    <t>interacted_person_id</t>
  </si>
  <si>
    <t>Identifies the person that carried out the interaction.</t>
  </si>
  <si>
    <t>interacted_company_id</t>
  </si>
  <si>
    <t>Identifies the company that carried out the interaction.</t>
  </si>
  <si>
    <t>identification_method</t>
  </si>
  <si>
    <t>What method was used to identify the individual or company for this interaction.</t>
  </si>
  <si>
    <t>Known From outbound Communication, Self Identification, Cookie match, IP Company Match, None</t>
  </si>
  <si>
    <t>data_source</t>
  </si>
  <si>
    <t>Which system tracked this interaction</t>
  </si>
  <si>
    <t>marketing_asset_id</t>
  </si>
  <si>
    <t>Primary key for each unique Marketing Asset</t>
  </si>
  <si>
    <t>uses_dynamic_content</t>
  </si>
  <si>
    <t>identifies if the content contains dynamic personalisation specific to the audience.</t>
  </si>
  <si>
    <t>pega_flag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</si>
  <si>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</si>
  <si>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</si>
  <si>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</si>
  <si>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</si>
  <si>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</si>
  <si>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Links to the product or product family that this asset is promoting.</t>
  </si>
  <si>
    <t>Used to match the target product for a marketing asset with outcomes for the same product family as a potential differentiator for attribution.</t>
  </si>
  <si>
    <t>Allows grouping and comparison of marketing assets by the product they are promoting.</t>
  </si>
  <si>
    <t>Optional</t>
  </si>
  <si>
    <t>source_table</t>
  </si>
  <si>
    <t>Identifies the GCP table that this Row is sourced from</t>
  </si>
  <si>
    <t>source_id_field</t>
  </si>
  <si>
    <t>Identifies the PK field of that table.</t>
  </si>
  <si>
    <t>source_id</t>
  </si>
  <si>
    <t>The Source Table PK Value.</t>
  </si>
  <si>
    <t>order_id</t>
  </si>
  <si>
    <t>Unique Identifier for this order.</t>
  </si>
  <si>
    <t>Unique Friendly name of the order, May be a concatenation of product, Time and company.</t>
  </si>
  <si>
    <t>Which particular product was being sold in the order. *It might be actual we relate the order to a more complex product table depending on how the source data is structured</t>
  </si>
  <si>
    <t>FK -&gt; Product.product_id</t>
  </si>
  <si>
    <t>action_type</t>
  </si>
  <si>
    <t xml:space="preserve">In what part of the customer lifecycle is this order, what is its context based on current  company status. </t>
  </si>
  <si>
    <t>String Enum</t>
  </si>
  <si>
    <t>"No Action", "Cease", "Modify", "Provide", "Mixed"</t>
  </si>
  <si>
    <t>transaction_channel</t>
  </si>
  <si>
    <t xml:space="preserve">How did the customer make the order
</t>
  </si>
  <si>
    <t>Digitally - Order was processed on the website
Phone - Order was processed over the phone
Physically - Order was processed and agreed F2F?</t>
  </si>
  <si>
    <t>date_raised</t>
  </si>
  <si>
    <t>Date the order was agreed by the client, They have commited to buy at agreed price</t>
  </si>
  <si>
    <t>transaction_date</t>
  </si>
  <si>
    <t>When was the order actually transacted</t>
  </si>
  <si>
    <t>sales_order_value</t>
  </si>
  <si>
    <t>sales_order_value_gross_margin</t>
  </si>
  <si>
    <t>initial_contract_value</t>
  </si>
  <si>
    <t>initial_contract_value_gross_margin</t>
  </si>
  <si>
    <t>average_revenue_per_unit</t>
  </si>
  <si>
    <t>Company the order is for * might their be cases where the paying company is meaningfully distinct from the using company</t>
  </si>
  <si>
    <t>contact_id</t>
  </si>
  <si>
    <t>The Key Contact Associated with Making the order, It might be we need a full relationship table that dictates the roles for the order, Dependant on available data.</t>
  </si>
  <si>
    <t>date_completed</t>
  </si>
  <si>
    <t>When is the order delivery completed and revenue is confirmed.</t>
  </si>
  <si>
    <t>causal_interaction_id</t>
  </si>
  <si>
    <t>The Iteraction that lead to the sale. E.G. the call. Foreign Key to the Interaction table.</t>
  </si>
  <si>
    <t>related_opportunity_id</t>
  </si>
  <si>
    <t>Which Opportunity preceeded and drove this order</t>
  </si>
  <si>
    <t>FK -&gt; Opportunity.Opportunity_ID</t>
  </si>
  <si>
    <t>contract_term</t>
  </si>
  <si>
    <t>Agreed length of the contract.</t>
  </si>
  <si>
    <t>previous_order_id</t>
  </si>
  <si>
    <t>Link to another order where this order was a renewal of a previous order.</t>
  </si>
  <si>
    <t>FK -&gt; Orders.Order_ID</t>
  </si>
  <si>
    <t>ceased_date</t>
  </si>
  <si>
    <t>Date when the subscription expires or date when subscription is cancled. For non subscription products this would be blank</t>
  </si>
  <si>
    <t>product_price_type</t>
  </si>
  <si>
    <t>Identifies if it’s a one off or recurring revenue sales. I.E&gt; Subscription.</t>
  </si>
  <si>
    <t>product_quantity</t>
  </si>
  <si>
    <t>cessetion_reason</t>
  </si>
  <si>
    <t>Cessation reason of the Order Item. Stopped after use</t>
  </si>
  <si>
    <t>cancel_reason</t>
  </si>
  <si>
    <t>Reason for canceling, Stopped without using or applying, I bought then decided not to. I requested an adjustment then decided I didn't want the change.</t>
  </si>
  <si>
    <t>audience_id</t>
  </si>
  <si>
    <t>The Expected audience for this Activity</t>
  </si>
  <si>
    <t>Used to limit which people / companies are likely to have been impacted by this activity</t>
  </si>
  <si>
    <t>Which campaign was this activity associated with.</t>
  </si>
  <si>
    <t>FK -&gt; Campaigns.Campaign_ID</t>
  </si>
  <si>
    <t>control</t>
  </si>
  <si>
    <t>Identifies if this record is actual part of the control for this campaign, As such wasn't sent the communications * Might be better handled in a different way.</t>
  </si>
  <si>
    <t>Needed to support automating the control cell measurement which is a guardrail for our attribution model. Also Identifies those that for modelling purposes have been excluded so shouldn't have any revenue attributed due to this activity</t>
  </si>
  <si>
    <t>Needed to showcase at a campaign level the control cell vs not for control cell uplift visualisation.</t>
  </si>
  <si>
    <t>Boolean</t>
  </si>
  <si>
    <t>When the asset stopped being shared through this mechanism and interactions are either impossible or unlikely.</t>
  </si>
  <si>
    <t>id</t>
  </si>
  <si>
    <t>Unique Identifier for the activity</t>
  </si>
  <si>
    <t>Identifies the marketing asset that this marketing activity shares</t>
  </si>
  <si>
    <t>Optional Name of the activity, might not be needed may come from asset + Campaign.</t>
  </si>
  <si>
    <t>reach_companies</t>
  </si>
  <si>
    <t>The estimated or actual number of companies that would have had the opportunity to interact with this activity. * Company Granularity to be determined</t>
  </si>
  <si>
    <t>Combine with the audience size to estimate the likelyhood that anyone in the audience was impacted by this activity.</t>
  </si>
  <si>
    <t>potential Metric for future dashboards that are not currently in scope</t>
  </si>
  <si>
    <t>reach_individuals</t>
  </si>
  <si>
    <t>The estimated or actual number of individuals that would have had an opportunity to interact with this activity</t>
  </si>
  <si>
    <t>When the asset started to be shared through this mechanism and interactions are possible.</t>
  </si>
  <si>
    <t>status</t>
  </si>
  <si>
    <t>What is the status of the push activity, I.E. was it Delivered, Part of control cell,…</t>
  </si>
  <si>
    <t>system_id</t>
  </si>
  <si>
    <t>Which System facilitated this Activity</t>
  </si>
  <si>
    <t>targeted_company_id</t>
  </si>
  <si>
    <t>Identified the company that was targeted with the communication.</t>
  </si>
  <si>
    <t>Name of the tool</t>
  </si>
  <si>
    <t>owner</t>
  </si>
  <si>
    <t>The BT team member that is responsible for this tool</t>
  </si>
  <si>
    <t>yearly_cost</t>
  </si>
  <si>
    <t>* We may want a more compex tracking method later. This should be the cost that is not campaign specific. I.E. General License and platform maintainance costs.</t>
  </si>
  <si>
    <t>Currency Pounds</t>
  </si>
  <si>
    <t>Sythentic ID given to this individiual</t>
  </si>
  <si>
    <t>persona</t>
  </si>
  <si>
    <t>GCP Table Reference</t>
  </si>
  <si>
    <t>FK -&gt; Source_Table. Source_ID_Field</t>
  </si>
  <si>
    <t>…</t>
  </si>
  <si>
    <t>other existing people related fields tbc.</t>
  </si>
  <si>
    <t>When this person started the role at the company (To BT knowledge)</t>
  </si>
  <si>
    <t>When this person ended the role at the company (To BT Knowledge)</t>
  </si>
  <si>
    <t xml:space="preserve">Optional </t>
  </si>
  <si>
    <t>role_type</t>
  </si>
  <si>
    <t>Identifies the Role the person had at the company,</t>
  </si>
  <si>
    <t>parent_company_id</t>
  </si>
  <si>
    <t>company_market_channel</t>
  </si>
  <si>
    <t>Describes which business area in BT is responsible for marketing and sales to this account.</t>
  </si>
  <si>
    <t>Different market channel may have different parameter rulesets.</t>
  </si>
  <si>
    <t>A key filter in most dashboards as almost all audiences will care about only companis from a single group in this list.</t>
  </si>
  <si>
    <t>SMB, CPS, Wholesale, Global</t>
  </si>
  <si>
    <t>company_business_type</t>
  </si>
  <si>
    <t>Describes the granularity/ Type of account at a size level. Also how BT thinks about this account. Used to understand the hierarchy.</t>
  </si>
  <si>
    <t>Used as part of the linking strategy to understand how closely linked a marketing activity is to an outcome. We may look at the largest grain of company needed for form the link.</t>
  </si>
  <si>
    <t>Not Relevant for analytics</t>
  </si>
  <si>
    <t>CUG, Billing Account, SAC, World Key, LE</t>
  </si>
  <si>
    <t>owner_id</t>
  </si>
  <si>
    <t>Who is the sales person assigned to manage this company as an account. There may be multiple or other roles associated with the account.</t>
  </si>
  <si>
    <t>Not Used for modelling</t>
  </si>
  <si>
    <t>Potentially supports the ability for users to filter down to only accounts they Owner / Another way to find relevant accounts.</t>
  </si>
  <si>
    <t>vertical</t>
  </si>
  <si>
    <t>This is a placeholder for descriptive fields for the type of work this company does. We are looking for fields that would identify similar companies that might be expected to respond similarly to marketing or purchase similar products from BT</t>
  </si>
  <si>
    <t>List of Values</t>
  </si>
  <si>
    <t>Finacial Services, Healthcare, Retail,... (exact values dependant on the data)</t>
  </si>
  <si>
    <t>industry</t>
  </si>
  <si>
    <t>This is a placeholder for descriptive fields for the type of work this company does. We are looking for fields that would identify similar companies that might be expected to respond similarly to marketing or purchase similar products from BT, This would be a more granular view of the same information as verticle. Could be SIC codes type information.</t>
  </si>
  <si>
    <t>Not Used For modelling Currently, But could form an attribute for a algorithmic model</t>
  </si>
  <si>
    <t>A dimension for filtering or comparison</t>
  </si>
  <si>
    <t>"Customer-Data &amp; Personalisation (CDP/RT-CDP) Software", "AI-Driven Medical Imaging Diagnostics", "RegTech Compliance Automation Platforms"</t>
  </si>
  <si>
    <t>location</t>
  </si>
  <si>
    <t>This is a proxy field for some set of fields that identify company locations, can be aligned to source data structure.</t>
  </si>
  <si>
    <t>Other Related Company Fields TBC</t>
  </si>
  <si>
    <t>Friendly Name of the audience</t>
  </si>
  <si>
    <t>How is this audience identified</t>
  </si>
  <si>
    <t>audience_criteria_description</t>
  </si>
  <si>
    <t>An description of the requirements for the audience to fulfil</t>
  </si>
  <si>
    <t>audience_criteria_technical</t>
  </si>
  <si>
    <t>The technical implimentation of these audience requirements.</t>
  </si>
  <si>
    <t>propensity_model_used</t>
  </si>
  <si>
    <t>Identifies the propensity model that is used as part of the audience selection criteria. This would be a FK to another table.</t>
  </si>
  <si>
    <t>Dimensions for filter and comparison, Gives the end user the ability to understand the effectiveness of the propensity models.</t>
  </si>
  <si>
    <t>size_individuals</t>
  </si>
  <si>
    <t>The Estimated or actual count of individuals that form this audience.</t>
  </si>
  <si>
    <t>size_companies</t>
  </si>
  <si>
    <t>The Estimated or actual count of Companies that form this audience. *Company Granularity to be determined</t>
  </si>
  <si>
    <t>Unique reference to this change event</t>
  </si>
  <si>
    <t>The Date that the change occurred, Specifically when the new values took effect. This could be the start date of and order, or end date of an order.</t>
  </si>
  <si>
    <t>Identifes the specific product that this change referers to.</t>
  </si>
  <si>
    <t>sales_order_value_change</t>
  </si>
  <si>
    <t>The Difference in Sales Order Value, Before to after the change date</t>
  </si>
  <si>
    <t>sales_order_value_gross_margin_change</t>
  </si>
  <si>
    <t>The difference in SOV GM from before the change to after the change date</t>
  </si>
  <si>
    <t>initial_contract_value_change</t>
  </si>
  <si>
    <t>The difference in ICV from before to after the change date.</t>
  </si>
  <si>
    <t>initial_contract_value_gross_margin_change</t>
  </si>
  <si>
    <t>The Difference in ICV GM from before to after the change date.</t>
  </si>
  <si>
    <t>change_type</t>
  </si>
  <si>
    <t>Denotes what the type of change was, whether its at the start or end of a customer journey or in the midding.</t>
  </si>
  <si>
    <t>New Order
Renewal - Same Product
Renewal - Different Product
Lapsing</t>
  </si>
  <si>
    <t>prev_order_id</t>
  </si>
  <si>
    <t>Reference to the Order that contains the old values for this product. This may be empty if no previous order found.</t>
  </si>
  <si>
    <t>new_order_id</t>
  </si>
  <si>
    <t>Reference to the Order that contains the new values for this product. This may be empty if previous order is lapsing without renewal.</t>
  </si>
  <si>
    <t>Reference to the company that these products and the changes are associated with.</t>
  </si>
  <si>
    <t>Sythentic ID that represents the Unified Product ID.</t>
  </si>
  <si>
    <t>For other Tables to Join to</t>
  </si>
  <si>
    <t>For other Tables to Join To</t>
  </si>
  <si>
    <t>product_parent_id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</si>
  <si>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</si>
  <si>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</si>
  <si>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</si>
  <si>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</si>
  <si>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</si>
  <si>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</si>
  <si>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</si>
  <si>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datekey</t>
  </si>
  <si>
    <t>This is the Date Primary Key</t>
  </si>
  <si>
    <t>Actual Date being represented</t>
  </si>
  <si>
    <t>financial_year</t>
  </si>
  <si>
    <t>Which financial Year this date falls within</t>
  </si>
  <si>
    <t>financial_quarter</t>
  </si>
  <si>
    <t>Which Financial Quarter this date falls into.</t>
  </si>
  <si>
    <t>financial_month_number</t>
  </si>
  <si>
    <t>Month Number within BT Financial Year.</t>
  </si>
  <si>
    <t>is_weekend</t>
  </si>
  <si>
    <t>is_holiday</t>
  </si>
  <si>
    <t>tool_id</t>
  </si>
  <si>
    <t>Sythentic ID given to head tool</t>
  </si>
  <si>
    <t>targeted_person_id</t>
  </si>
  <si>
    <t>Identifies the person the marketing activity targeted.</t>
  </si>
  <si>
    <t>communication_mode</t>
  </si>
  <si>
    <t>Identifies if this is a push or pull communication.</t>
  </si>
  <si>
    <t>Helps understanding which attributes we would expect in the related marketing activities.</t>
  </si>
  <si>
    <t>Push
Pull</t>
  </si>
  <si>
    <t>The friendly or offical name of the company.</t>
  </si>
  <si>
    <t>Needed for selection of the company specific dashboard and as a dimension in some detailed breakdowns.</t>
  </si>
  <si>
    <t>Clevertouch Consulting ltd</t>
  </si>
  <si>
    <t>product_yca_tier</t>
  </si>
  <si>
    <t>Identifiest the Tier of the product that is the closest common parent to the product of the order and the product of the Campaign or Asset.</t>
  </si>
  <si>
    <t>Used as a paremeter to govern how much attribution is given to this link.</t>
  </si>
  <si>
    <t>List of Values [Tiers}</t>
  </si>
  <si>
    <t>company_yca_type</t>
  </si>
  <si>
    <t>Gives the company_business_type of the closest common parent of the company the order was associated and the company assoicated to the activity.</t>
  </si>
  <si>
    <t>List of value [Company Types]</t>
  </si>
  <si>
    <t>Activity ID</t>
  </si>
  <si>
    <t>Outcome ID</t>
  </si>
  <si>
    <t>Outcome Type</t>
  </si>
  <si>
    <t>Link ID</t>
  </si>
  <si>
    <t>Interaction</t>
  </si>
  <si>
    <t>Contact</t>
  </si>
  <si>
    <t>Relation Type</t>
  </si>
  <si>
    <t>Time Lag (Days)</t>
  </si>
  <si>
    <t>Weight</t>
  </si>
  <si>
    <t>Outcome Value</t>
  </si>
  <si>
    <t>Attributed Amount</t>
  </si>
  <si>
    <t>Sales Order Value</t>
  </si>
  <si>
    <t>Sales Order Value Gross Margin</t>
  </si>
  <si>
    <t>Initial Contract Value</t>
  </si>
  <si>
    <t>Initial Contract Value Gross margin</t>
  </si>
  <si>
    <t>Average Revenue per Unit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</si>
  <si>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</si>
  <si>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</si>
  <si>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</si>
  <si>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</si>
  <si>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</si>
  <si>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</si>
  <si>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</si>
  <si>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</si>
  <si>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</si>
  <si>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</si>
  <si>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</si>
  <si>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</si>
  <si>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</si>
  <si>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</si>
  <si>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</si>
  <si>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</si>
  <si>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</si>
  <si>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</si>
  <si>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</si>
  <si>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</si>
  <si>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</si>
  <si>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</si>
  <si>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</si>
  <si>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</si>
  <si>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</si>
  <si>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</si>
  <si>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</si>
  <si>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</si>
  <si>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</si>
  <si>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</si>
  <si>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</si>
  <si>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</si>
  <si>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</si>
  <si>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</si>
  <si>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</si>
  <si>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</si>
  <si>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</si>
  <si>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</si>
  <si>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</si>
  <si>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</si>
  <si>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</si>
  <si>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</si>
  <si>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</si>
  <si>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</si>
  <si>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</si>
  <si>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</si>
  <si>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</si>
  <si>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</si>
  <si>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</si>
  <si>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</si>
  <si>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</si>
  <si>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</si>
  <si>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</si>
  <si>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</si>
  <si>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</si>
  <si>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</si>
  <si>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</si>
  <si>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</si>
  <si>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</si>
  <si>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</si>
  <si>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</si>
  <si>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</si>
  <si>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</si>
  <si>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</si>
  <si>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</si>
  <si>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</si>
  <si>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</si>
  <si>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</si>
  <si>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</si>
  <si>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</si>
  <si>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</si>
  <si>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</si>
  <si>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</si>
  <si>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scheme val="minor"/>
      </rPr>
      <t xml:space="preserve">Churn could be at 3 levels Customer, Product Group, Specific Product.
</t>
    </r>
    <r>
      <rPr>
        <b/>
        <sz val="11"/>
        <color rgb="FF000000"/>
        <rFont val="Aptos Narrow"/>
        <scheme val="minor"/>
      </rPr>
      <t xml:space="preserve">Specific Product
Option 1:
</t>
    </r>
    <r>
      <rPr>
        <sz val="11"/>
        <color rgb="FF000000"/>
        <rFont val="Aptos Narrow"/>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scheme val="minor"/>
      </rPr>
      <t xml:space="preserve">Product Family
</t>
    </r>
    <r>
      <rPr>
        <sz val="11"/>
        <color rgb="FF000000"/>
        <rFont val="Aptos Narrow"/>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scheme val="minor"/>
      </rPr>
      <t xml:space="preserve">Customer
</t>
    </r>
    <r>
      <rPr>
        <sz val="11"/>
        <color rgb="FF000000"/>
        <rFont val="Aptos Narrow"/>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</si>
  <si>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</si>
  <si>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</si>
  <si>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</si>
  <si>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</si>
  <si>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</si>
  <si>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</si>
  <si>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</si>
  <si>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</si>
  <si>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</si>
  <si>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</si>
  <si>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</si>
  <si>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</si>
  <si>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</si>
  <si>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</si>
  <si>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</si>
  <si>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</si>
  <si>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</si>
  <si>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</si>
  <si>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</si>
  <si>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</si>
  <si>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</si>
  <si>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</si>
  <si>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</si>
  <si>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</si>
  <si>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</si>
  <si>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</si>
  <si>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</si>
  <si>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</si>
  <si>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</si>
  <si>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</si>
  <si>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</si>
  <si>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</si>
  <si>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</si>
  <si>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</si>
  <si>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</si>
  <si>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</si>
  <si>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</si>
  <si>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</si>
  <si>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</si>
  <si>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</si>
  <si>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</si>
  <si>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</si>
  <si>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</si>
  <si>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</si>
  <si>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</si>
  <si>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</si>
  <si>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</si>
  <si>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</si>
  <si>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</si>
  <si>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</si>
  <si>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</si>
  <si>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</si>
  <si>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</si>
  <si>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</si>
  <si>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</si>
  <si>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</si>
  <si>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</si>
  <si>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</si>
  <si>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</si>
  <si>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</si>
  <si>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</si>
  <si>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</si>
  <si>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</si>
  <si>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</si>
  <si>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</si>
  <si>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</si>
  <si>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</si>
  <si>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</si>
  <si>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</si>
  <si>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</si>
  <si>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</si>
  <si>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</si>
  <si>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</si>
  <si>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</si>
  <si>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</si>
  <si>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</si>
  <si>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</si>
  <si>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</si>
  <si>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</si>
  <si>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</si>
  <si>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</si>
  <si>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</si>
  <si>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</si>
  <si>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</si>
  <si>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</si>
  <si>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</si>
  <si>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</si>
  <si>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</si>
  <si>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</si>
  <si>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</si>
  <si>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</si>
  <si>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</si>
  <si>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</si>
  <si>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</si>
  <si>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</si>
  <si>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</si>
  <si>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</si>
  <si>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</si>
  <si>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</si>
  <si>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</si>
  <si>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</si>
  <si>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</si>
  <si>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</si>
  <si>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</si>
  <si>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</si>
  <si>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</si>
  <si>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</si>
  <si>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</si>
  <si>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</si>
  <si>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</si>
  <si>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</si>
  <si>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</si>
  <si>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</si>
  <si>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</si>
  <si>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</si>
  <si>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</si>
  <si>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</si>
  <si>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</si>
  <si>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</si>
  <si>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</si>
  <si>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</si>
  <si>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</si>
  <si>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</si>
  <si>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</si>
  <si>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</si>
  <si>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</si>
  <si>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</si>
  <si>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</si>
  <si>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</si>
  <si>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</si>
  <si>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</si>
  <si>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</si>
  <si>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</si>
  <si>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</si>
  <si>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</si>
  <si>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</si>
  <si>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</si>
  <si>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</si>
  <si>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</si>
  <si>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</si>
  <si>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</si>
  <si>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</si>
  <si>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</si>
  <si>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</si>
  <si>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</si>
  <si>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ID</t>
  </si>
  <si>
    <t>Group</t>
  </si>
  <si>
    <t>Identifiable method</t>
  </si>
  <si>
    <t>Type</t>
  </si>
  <si>
    <t>Comment</t>
  </si>
  <si>
    <t>Interaction Types</t>
  </si>
  <si>
    <t>Paid Digital Ads</t>
  </si>
  <si>
    <t>ATL</t>
  </si>
  <si>
    <t>IP Inferred</t>
  </si>
  <si>
    <t>Digital</t>
  </si>
  <si>
    <t>Pull</t>
  </si>
  <si>
    <t>Content Syndication</t>
  </si>
  <si>
    <t>Audience Inferred</t>
  </si>
  <si>
    <t>Digital?</t>
  </si>
  <si>
    <t>Web</t>
  </si>
  <si>
    <t>IP Inferred or Better</t>
  </si>
  <si>
    <t>Above the Line - Non Digital</t>
  </si>
  <si>
    <t>Physical</t>
  </si>
  <si>
    <t>Placeholder For multiple channels</t>
  </si>
  <si>
    <t>Social Posts</t>
  </si>
  <si>
    <t>Social Outbound Messages</t>
  </si>
  <si>
    <t>BTL</t>
  </si>
  <si>
    <t>Known Person</t>
  </si>
  <si>
    <t>Push</t>
  </si>
  <si>
    <t>Virtual Events</t>
  </si>
  <si>
    <t>Self Identified</t>
  </si>
  <si>
    <t>Events</t>
  </si>
  <si>
    <t>F2F Events</t>
  </si>
  <si>
    <t>Webinars</t>
  </si>
  <si>
    <t>Direct Mail</t>
  </si>
  <si>
    <t>Whatsapp</t>
  </si>
  <si>
    <t>RCS</t>
  </si>
  <si>
    <t>Email</t>
  </si>
  <si>
    <t>SMS</t>
  </si>
  <si>
    <t>MMS</t>
  </si>
  <si>
    <t>App Push Notification</t>
  </si>
  <si>
    <t>Telemarketing</t>
  </si>
  <si>
    <t>Conversation</t>
  </si>
  <si>
    <t>Online Chat</t>
  </si>
  <si>
    <t>Self Identified / IP Inferred</t>
  </si>
  <si>
    <t>Sales Meetings</t>
  </si>
  <si>
    <t>Sales</t>
  </si>
  <si>
    <t>Sales Calls</t>
  </si>
  <si>
    <t>Sales Email</t>
  </si>
  <si>
    <t>Inbound Calls</t>
  </si>
  <si>
    <t>Channel</t>
  </si>
  <si>
    <t>Interactsion Concatnated</t>
  </si>
  <si>
    <t>Column1</t>
  </si>
  <si>
    <t>Column2</t>
  </si>
  <si>
    <t>Column3</t>
  </si>
  <si>
    <t>Column4</t>
  </si>
  <si>
    <t>Column5</t>
  </si>
  <si>
    <t>Column6</t>
  </si>
  <si>
    <t>Column7</t>
  </si>
  <si>
    <t>Viewed</t>
  </si>
  <si>
    <t>Clicked</t>
  </si>
  <si>
    <t>Submit Form</t>
  </si>
  <si>
    <t>Page View</t>
  </si>
  <si>
    <t>Link Click</t>
  </si>
  <si>
    <t>Watch Video</t>
  </si>
  <si>
    <t>Download</t>
  </si>
  <si>
    <t>Live Chat?</t>
  </si>
  <si>
    <t>Responded</t>
  </si>
  <si>
    <t>Opt-Out</t>
  </si>
  <si>
    <t>Registered</t>
  </si>
  <si>
    <t>Attended</t>
  </si>
  <si>
    <t>View on Demand</t>
  </si>
  <si>
    <t>Sent</t>
  </si>
  <si>
    <t>Delivered</t>
  </si>
  <si>
    <t>Bounced</t>
  </si>
  <si>
    <t>Received</t>
  </si>
  <si>
    <t>Read</t>
  </si>
  <si>
    <t>Opened</t>
  </si>
  <si>
    <t>Responsed</t>
  </si>
  <si>
    <t>Invited</t>
  </si>
  <si>
    <t>Dialled</t>
  </si>
  <si>
    <t>Answered</t>
  </si>
  <si>
    <t>Engaged</t>
  </si>
  <si>
    <t>Called</t>
  </si>
  <si>
    <t>Attempted</t>
  </si>
  <si>
    <t>Conversed</t>
  </si>
  <si>
    <t>Initiated</t>
  </si>
  <si>
    <t>Disconnected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</si>
</sst>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809]* #,##0.00_-;\-[$£-809]* #,##0.00_-;_-[$£-809]* &quot;-&quot;??_-;_-@_-"/>
  </numFmts>
  <fonts count="22">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scheme val="minor"/>
    </font>
    <font>
      <b/>
      <sz val="11"/>
      <color rgb="FF000000"/>
      <name val="Aptos Narrow"/>
      <scheme val="minor"/>
    </font>
    <font>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charset val="1"/>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4">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bottom/>
      <diagonal/>
    </border>
    <border>
      <left style="thin">
        <color indexed="64"/>
      </left>
      <right/>
      <top/>
      <bottom style="thin">
        <color indexed="64"/>
      </bottom>
      <diagonal/>
    </border>
    <border>
      <left style="thin">
        <color indexed="64"/>
      </left>
      <right/>
      <top style="thin">
        <color theme="4" tint="0.39997558519241921"/>
      </top>
      <bottom style="thin">
        <color indexed="64"/>
      </bottom>
      <diagonal/>
    </border>
  </borders>
  <cellStyleXfs count="1">
    <xf numFmtId="0" fontId="0" fillId="0" borderId="0"/>
  </cellStyleXfs>
  <cellXfs count="48">
    <xf numFmtId="0" fontId="0" fillId="0" borderId="0" xfId="0"/>
    <xf numFmtId="0" fontId="0" fillId="0" borderId="0" xfId="0" applyAlignment="1">
      <alignment vertical="center" wrapText="1"/>
    </xf>
    <xf numFmtId="0" fontId="1" fillId="0" borderId="0" xfId="0" applyFont="1"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1" fillId="0" borderId="0" xfId="0" applyFont="1" applyAlignment="1">
      <alignment vertical="center"/>
    </xf>
    <xf numFmtId="0" fontId="13"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xf>
    <xf numFmtId="0" fontId="0" fillId="0" borderId="0" xfId="0" applyAlignment="1">
      <alignment wrapText="1"/>
    </xf>
    <xf numFmtId="0" fontId="12" fillId="0" borderId="0" xfId="0" applyFont="1" applyAlignment="1">
      <alignment wrapText="1"/>
    </xf>
    <xf numFmtId="0" fontId="10"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4"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20"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0" fillId="3" borderId="0" xfId="0" applyFill="1"/>
    <xf numFmtId="0" fontId="1" fillId="5" borderId="0" xfId="0" applyFont="1" applyFill="1" applyAlignment="1">
      <alignment horizontal="center" vertical="center"/>
    </xf>
    <xf numFmtId="0" fontId="21" fillId="0" borderId="0" xfId="0" applyFont="1" applyAlignment="1">
      <alignment wrapText="1" readingOrder="1"/>
    </xf>
    <xf numFmtId="0" fontId="0" fillId="0" borderId="6" xfId="0" applyBorder="1"/>
    <xf numFmtId="0" fontId="1" fillId="0" borderId="4" xfId="0" applyFont="1" applyBorder="1" applyAlignment="1">
      <alignment horizontal="center"/>
    </xf>
    <xf numFmtId="0" fontId="1" fillId="0" borderId="5" xfId="0" applyFont="1" applyBorder="1" applyAlignment="1">
      <alignment horizontal="center"/>
    </xf>
    <xf numFmtId="0" fontId="1" fillId="3" borderId="0" xfId="0" applyFont="1" applyFill="1"/>
    <xf numFmtId="0" fontId="1" fillId="0" borderId="7" xfId="0" applyFont="1"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0" borderId="8" xfId="0" applyFont="1" applyBorder="1"/>
    <xf numFmtId="0" fontId="0" fillId="0" borderId="13" xfId="0" applyBorder="1"/>
  </cellXfs>
  <cellStyles count="1">
    <cellStyle name="Normal" xfId="0" builtinId="0"/>
  </cellStyles>
  <dxfs count="7">
    <dxf>
      <border diagonalUp="0" diagonalDown="0">
        <left/>
        <right style="thin">
          <color indexed="64"/>
        </right>
        <top/>
        <bottom/>
        <vertical/>
        <horizontal/>
      </border>
    </dxf>
    <dxf>
      <border diagonalUp="0" diagonalDown="0">
        <left style="thin">
          <color rgb="FF000000"/>
        </left>
        <right style="thin">
          <color rgb="FF000000"/>
        </right>
        <top/>
        <bottom/>
        <vertical/>
        <horizontal/>
      </border>
    </dxf>
    <dxf>
      <border diagonalUp="0" diagonalDown="0">
        <left style="thin">
          <color indexed="64"/>
        </left>
        <right/>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J167" totalsRowShown="0">
  <autoFilter ref="A1:J167" xr:uid="{AE1AD4F9-4E3A-41DA-9532-E435FAC78061}">
    <filterColumn colId="0">
      <filters>
        <filter val="Attribution Model Output Table"/>
        <filter val="Attrribution Model"/>
      </filters>
    </filterColumn>
  </autoFilter>
  <sortState xmlns:xlrd2="http://schemas.microsoft.com/office/spreadsheetml/2017/richdata2" ref="A2:J165">
    <sortCondition ref="B1:B165"/>
  </sortState>
  <tableColumns count="10">
    <tableColumn id="1" xr3:uid="{FA10E4DE-EA14-4D6D-B2DE-B36300D4BF76}" name="Object" dataDxfId="6"/>
    <tableColumn id="2" xr3:uid="{32E1B4A0-4AC4-478E-B858-9CDAC148562B}" name="Name"/>
    <tableColumn id="3" xr3:uid="{85FF24E0-DD58-4F79-B3D0-388BE33FFF38}" name="Description" dataDxfId="5"/>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4"/>
    <tableColumn id="8" xr3:uid="{6F705DBE-267C-4645-8C93-CB99BEC6A154}" name="Tokenised"/>
    <tableColumn id="9" xr3:uid="{193B0F12-7095-425B-833D-884F117D2CC8}" name="Tokenised Reason"/>
    <tableColumn id="10" xr3:uid="{D6E8B652-AD77-4FB5-BD6A-F4C444E11ED9}" name="Requirem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96477C-ECA9-4EBE-A35F-BB664900AC81}" name="Table2" displayName="Table2" ref="A1:J23" totalsRowShown="0" headerRowDxfId="3">
  <autoFilter ref="A1:J23" xr:uid="{6D96477C-ECA9-4EBE-A35F-BB664900AC81}"/>
  <tableColumns count="10">
    <tableColumn id="1" xr3:uid="{EACA768A-938B-44E7-89E1-1321528ABE92}" name="Channel" dataDxfId="2"/>
    <tableColumn id="2" xr3:uid="{C41B0F01-37EC-4C6A-ABBC-015577D1F75A}" name="Interactsion Concatnated" dataDxfId="1">
      <calculatedColumnFormula>_xlfn.TEXTJOIN(";",TRUE,C2:I2)</calculatedColumnFormula>
    </tableColumn>
    <tableColumn id="3" xr3:uid="{329D1A88-3265-4F13-8A3B-7827457D6F32}" name="Interactions"/>
    <tableColumn id="4" xr3:uid="{1A3012FB-7917-49D1-90EF-600C1CB8AF3D}" name="Column1"/>
    <tableColumn id="5" xr3:uid="{B6D0889D-ECB5-4551-81F5-F8F0CA2C7966}" name="Column2"/>
    <tableColumn id="6" xr3:uid="{14E78471-B42C-46A7-BD1C-9D7851118FD7}" name="Column3"/>
    <tableColumn id="7" xr3:uid="{CA5A524F-838E-43AD-9CF2-84DFE3771ACC}" name="Column4"/>
    <tableColumn id="8" xr3:uid="{E6176540-475B-4EEA-94F4-70616D68E722}" name="Column5"/>
    <tableColumn id="9" xr3:uid="{CC2AC228-2DF6-4FF9-8A82-C7A0F3A6F6DD}" name="Column6" dataDxfId="0"/>
    <tableColumn id="10" xr3:uid="{2A4CC5FF-AB1D-442B-92F9-F5CF06779A32}" name="Column7">
      <calculatedColumnFormula>_xlfn.XLOOKUP(A2,Channels!B:B,Channels!B:B,"MISSING",0,1)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0"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1"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1" dT="2025-03-07T22:33:19.75" personId="{B662DE40-7D09-46E5-994D-04657B702874}" id="{8926F950-B59C-445B-88C8-B788066D21F2}" parentId="{0274946B-05FE-4A74-940A-A8DC46B315F1}">
    <text>See Example Values</text>
  </threadedComment>
  <threadedComment ref="C39"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39"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43"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45"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61"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61" dT="2025-03-07T22:24:32.38" personId="{B662DE40-7D09-46E5-994D-04657B702874}" id="{3477900C-1235-4AD9-B6B9-B36EBE216470}" parentId="{8497C7DA-1239-4373-88D7-CCD3FD1374B1}">
    <text>See comment on product family</text>
  </threadedComment>
  <threadedComment ref="C92" dT="2025-03-06T16:36:49.39" personId="{14C944A1-1481-401E-974A-00A50AE6EDAF}" id="{B341755A-7D9C-4B12-B3E8-F721DABD8A3A}">
    <text xml:space="preserve">@David Irvine 
example please . is it a available field in existing Marketo Activities?
</text>
    <mentions>
      <mention mentionpersonId="{2D30A5D6-A763-4ABB-81AE-1F40D026C227}" mentionId="{40C38E33-B939-49D4-8B2E-6D818BD6F889}" startIndex="0" length="13"/>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M20"/>
  <sheetViews>
    <sheetView tabSelected="1" zoomScale="115" zoomScaleNormal="100" workbookViewId="0">
      <pane xSplit="1" ySplit="1" topLeftCell="F14" activePane="bottomRight" state="frozen"/>
      <selection pane="bottomRight" activeCell="J17" sqref="J17"/>
      <selection pane="bottomLeft"/>
      <selection pane="topRight"/>
    </sheetView>
  </sheetViews>
  <sheetFormatPr defaultRowHeight="14.45"/>
  <cols>
    <col min="1" max="1" width="36.140625" bestFit="1" customWidth="1"/>
    <col min="2" max="2" width="34.42578125" bestFit="1" customWidth="1"/>
    <col min="3" max="3" width="60.140625" style="16" customWidth="1"/>
    <col min="4" max="4" width="49.5703125" style="16" bestFit="1" customWidth="1"/>
    <col min="5" max="5" width="37.140625" style="16" customWidth="1"/>
    <col min="6" max="6" width="158.42578125" style="16" customWidth="1"/>
    <col min="7" max="7" width="11.28515625" bestFit="1" customWidth="1"/>
    <col min="8" max="8" width="9.140625" bestFit="1" customWidth="1"/>
    <col min="9" max="9" width="15.85546875" bestFit="1" customWidth="1"/>
    <col min="11" max="11" width="28" customWidth="1"/>
    <col min="12" max="12" width="31.85546875" customWidth="1"/>
    <col min="13" max="13" width="22.28515625" customWidth="1"/>
  </cols>
  <sheetData>
    <row r="1" spans="1:13">
      <c r="A1" s="7" t="s">
        <v>0</v>
      </c>
      <c r="B1" s="7" t="s">
        <v>1</v>
      </c>
      <c r="C1" s="13" t="s">
        <v>2</v>
      </c>
      <c r="D1" s="13" t="s">
        <v>3</v>
      </c>
      <c r="E1" s="13" t="s">
        <v>4</v>
      </c>
      <c r="F1" s="13" t="s">
        <v>5</v>
      </c>
      <c r="G1" s="7" t="s">
        <v>6</v>
      </c>
      <c r="H1" t="s">
        <v>7</v>
      </c>
      <c r="I1" t="s">
        <v>8</v>
      </c>
      <c r="J1" t="s">
        <v>9</v>
      </c>
      <c r="K1" s="3" t="s">
        <v>10</v>
      </c>
      <c r="L1" s="3" t="s">
        <v>11</v>
      </c>
      <c r="M1" t="s">
        <v>12</v>
      </c>
    </row>
    <row r="2" spans="1:13" ht="72.599999999999994">
      <c r="A2" s="31" t="s">
        <v>13</v>
      </c>
      <c r="B2" s="31" t="s">
        <v>14</v>
      </c>
      <c r="C2" s="1" t="s">
        <v>15</v>
      </c>
      <c r="D2" s="1" t="s">
        <v>16</v>
      </c>
      <c r="E2" s="1" t="s">
        <v>17</v>
      </c>
      <c r="F2" s="5" t="s">
        <v>18</v>
      </c>
      <c r="G2">
        <f>COUNTIF(Attributes!A:A,objects!A2)</f>
        <v>18</v>
      </c>
      <c r="H2" t="s">
        <v>19</v>
      </c>
      <c r="I2">
        <v>1</v>
      </c>
      <c r="J2">
        <v>30</v>
      </c>
      <c r="L2" s="3" t="s">
        <v>20</v>
      </c>
    </row>
    <row r="3" spans="1:13" ht="72.599999999999994">
      <c r="A3" s="32" t="s">
        <v>21</v>
      </c>
      <c r="B3" s="32" t="s">
        <v>22</v>
      </c>
      <c r="C3" s="1" t="s">
        <v>23</v>
      </c>
      <c r="D3" s="1" t="s">
        <v>24</v>
      </c>
      <c r="E3" s="1" t="s">
        <v>25</v>
      </c>
      <c r="F3" s="1" t="s">
        <v>26</v>
      </c>
      <c r="G3">
        <f>COUNTIF(Attributes!A:A,objects!A3)</f>
        <v>6</v>
      </c>
      <c r="H3" t="s">
        <v>27</v>
      </c>
      <c r="I3">
        <v>2</v>
      </c>
      <c r="J3">
        <v>10</v>
      </c>
    </row>
    <row r="4" spans="1:13" ht="72.599999999999994">
      <c r="A4" s="32" t="s">
        <v>28</v>
      </c>
      <c r="B4" s="32" t="s">
        <v>22</v>
      </c>
      <c r="C4" s="1" t="s">
        <v>29</v>
      </c>
      <c r="D4" s="1" t="s">
        <v>30</v>
      </c>
      <c r="E4" s="1" t="s">
        <v>31</v>
      </c>
      <c r="F4" s="1" t="s">
        <v>32</v>
      </c>
      <c r="G4">
        <f>COUNTIF(Attributes!A:A,objects!A4)</f>
        <v>4</v>
      </c>
      <c r="H4" t="s">
        <v>27</v>
      </c>
      <c r="I4">
        <v>3</v>
      </c>
      <c r="J4">
        <v>7</v>
      </c>
    </row>
    <row r="5" spans="1:13" ht="57.95">
      <c r="A5" s="9" t="s">
        <v>33</v>
      </c>
      <c r="B5" s="9" t="s">
        <v>14</v>
      </c>
      <c r="C5" s="1" t="s">
        <v>34</v>
      </c>
      <c r="D5" s="1" t="s">
        <v>24</v>
      </c>
      <c r="E5" s="1" t="s">
        <v>35</v>
      </c>
      <c r="F5" s="1" t="s">
        <v>36</v>
      </c>
      <c r="G5">
        <f>COUNTIF(Attributes!A:A,objects!A5)</f>
        <v>9</v>
      </c>
      <c r="H5" t="s">
        <v>27</v>
      </c>
      <c r="I5">
        <v>4</v>
      </c>
      <c r="J5">
        <v>300</v>
      </c>
    </row>
    <row r="6" spans="1:13" ht="43.5">
      <c r="A6" s="7" t="s">
        <v>37</v>
      </c>
      <c r="B6" s="7" t="s">
        <v>14</v>
      </c>
      <c r="C6" s="1" t="s">
        <v>38</v>
      </c>
      <c r="D6" s="1" t="s">
        <v>39</v>
      </c>
      <c r="E6" s="1" t="s">
        <v>40</v>
      </c>
      <c r="F6" s="1" t="s">
        <v>41</v>
      </c>
      <c r="G6">
        <f>COUNTIF(Attributes!A:A,objects!A6)</f>
        <v>8</v>
      </c>
      <c r="H6" t="s">
        <v>27</v>
      </c>
      <c r="I6">
        <v>5</v>
      </c>
      <c r="J6">
        <v>100</v>
      </c>
    </row>
    <row r="7" spans="1:13" ht="101.45">
      <c r="A7" s="31" t="s">
        <v>42</v>
      </c>
      <c r="B7" s="7" t="s">
        <v>14</v>
      </c>
      <c r="C7" s="1" t="s">
        <v>43</v>
      </c>
      <c r="D7" s="1" t="s">
        <v>44</v>
      </c>
      <c r="E7" s="1" t="s">
        <v>45</v>
      </c>
      <c r="F7" s="5" t="s">
        <v>46</v>
      </c>
      <c r="G7">
        <f>COUNTIF(Attributes!A:A,objects!A7)</f>
        <v>18</v>
      </c>
      <c r="H7" t="s">
        <v>19</v>
      </c>
      <c r="I7">
        <v>15</v>
      </c>
      <c r="J7">
        <v>10000</v>
      </c>
    </row>
    <row r="8" spans="1:13" ht="72.599999999999994">
      <c r="A8" s="31" t="s">
        <v>47</v>
      </c>
      <c r="B8" s="7" t="s">
        <v>14</v>
      </c>
      <c r="C8" s="1" t="s">
        <v>48</v>
      </c>
      <c r="D8" s="1" t="s">
        <v>49</v>
      </c>
      <c r="E8" s="1" t="s">
        <v>50</v>
      </c>
      <c r="F8" s="1" t="s">
        <v>51</v>
      </c>
      <c r="G8">
        <f>COUNTIF(Attributes!A:A,objects!A8)</f>
        <v>10</v>
      </c>
      <c r="H8" t="s">
        <v>19</v>
      </c>
      <c r="I8">
        <v>17</v>
      </c>
      <c r="J8">
        <v>500000</v>
      </c>
    </row>
    <row r="9" spans="1:13" ht="29.1">
      <c r="A9" s="7" t="s">
        <v>52</v>
      </c>
      <c r="B9" s="7" t="s">
        <v>53</v>
      </c>
      <c r="C9" s="1" t="s">
        <v>54</v>
      </c>
      <c r="D9" s="1" t="s">
        <v>55</v>
      </c>
      <c r="E9" s="1" t="s">
        <v>56</v>
      </c>
      <c r="F9" s="1" t="s">
        <v>57</v>
      </c>
      <c r="G9">
        <f>COUNTIF(Attributes!A:A,objects!A9)</f>
        <v>11</v>
      </c>
      <c r="H9" t="s">
        <v>27</v>
      </c>
      <c r="I9">
        <v>18</v>
      </c>
      <c r="J9" t="s">
        <v>58</v>
      </c>
    </row>
    <row r="10" spans="1:13" ht="57.95">
      <c r="A10" s="31" t="s">
        <v>59</v>
      </c>
      <c r="B10" s="7" t="s">
        <v>14</v>
      </c>
      <c r="C10" s="1" t="s">
        <v>60</v>
      </c>
      <c r="D10" s="1" t="s">
        <v>61</v>
      </c>
      <c r="E10" s="1" t="s">
        <v>62</v>
      </c>
      <c r="F10" s="1" t="s">
        <v>63</v>
      </c>
      <c r="G10">
        <f>COUNTIF(Attributes!A:A,objects!A10)</f>
        <v>5</v>
      </c>
      <c r="H10" t="s">
        <v>19</v>
      </c>
      <c r="I10">
        <v>7</v>
      </c>
      <c r="J10">
        <v>5000</v>
      </c>
    </row>
    <row r="11" spans="1:13" ht="87">
      <c r="A11" s="31" t="s">
        <v>64</v>
      </c>
      <c r="B11" s="7" t="s">
        <v>14</v>
      </c>
      <c r="C11" s="1" t="s">
        <v>65</v>
      </c>
      <c r="D11" s="1" t="s">
        <v>66</v>
      </c>
      <c r="E11" s="1" t="s">
        <v>67</v>
      </c>
      <c r="F11" s="1" t="s">
        <v>68</v>
      </c>
      <c r="G11">
        <f>COUNTIF(Attributes!A:A,objects!A11)</f>
        <v>9</v>
      </c>
      <c r="H11" t="s">
        <v>19</v>
      </c>
      <c r="I11">
        <v>6</v>
      </c>
      <c r="J11">
        <v>3000</v>
      </c>
    </row>
    <row r="12" spans="1:13" ht="57.95">
      <c r="A12" s="34" t="s">
        <v>69</v>
      </c>
      <c r="B12" s="7" t="s">
        <v>14</v>
      </c>
      <c r="C12" s="1" t="s">
        <v>70</v>
      </c>
      <c r="D12" s="1" t="s">
        <v>71</v>
      </c>
      <c r="E12" s="1" t="s">
        <v>72</v>
      </c>
      <c r="F12" s="1" t="s">
        <v>73</v>
      </c>
      <c r="G12">
        <f>COUNTIF(Attributes!A:A,objects!A12)</f>
        <v>5</v>
      </c>
      <c r="H12" t="s">
        <v>27</v>
      </c>
      <c r="I12">
        <v>8</v>
      </c>
      <c r="J12" t="s">
        <v>58</v>
      </c>
    </row>
    <row r="13" spans="1:13" ht="43.5">
      <c r="A13" s="31" t="s">
        <v>74</v>
      </c>
      <c r="B13" s="7" t="s">
        <v>14</v>
      </c>
      <c r="C13" s="1" t="s">
        <v>75</v>
      </c>
      <c r="D13" s="1" t="s">
        <v>76</v>
      </c>
      <c r="E13" s="1" t="s">
        <v>77</v>
      </c>
      <c r="F13" s="1" t="s">
        <v>78</v>
      </c>
      <c r="G13">
        <f>COUNTIF(Attributes!A:A,objects!A13)</f>
        <v>24</v>
      </c>
      <c r="H13" t="s">
        <v>19</v>
      </c>
      <c r="I13">
        <v>9</v>
      </c>
      <c r="J13">
        <v>7000</v>
      </c>
    </row>
    <row r="14" spans="1:13" ht="101.45">
      <c r="A14" s="31" t="s">
        <v>79</v>
      </c>
      <c r="B14" s="7" t="s">
        <v>14</v>
      </c>
      <c r="C14" s="1" t="s">
        <v>80</v>
      </c>
      <c r="D14" s="1" t="s">
        <v>76</v>
      </c>
      <c r="E14" s="1" t="s">
        <v>77</v>
      </c>
      <c r="F14" s="1" t="s">
        <v>81</v>
      </c>
      <c r="G14">
        <f>COUNTIF(Attributes!A:A,objects!A14)</f>
        <v>0</v>
      </c>
      <c r="H14" t="s">
        <v>82</v>
      </c>
      <c r="I14">
        <v>10</v>
      </c>
    </row>
    <row r="15" spans="1:13" ht="57.95">
      <c r="A15" s="7" t="s">
        <v>83</v>
      </c>
      <c r="B15" s="7" t="s">
        <v>84</v>
      </c>
      <c r="C15" s="1" t="s">
        <v>85</v>
      </c>
      <c r="D15" s="1" t="s">
        <v>76</v>
      </c>
      <c r="E15" s="1" t="s">
        <v>77</v>
      </c>
      <c r="F15" s="1" t="s">
        <v>86</v>
      </c>
      <c r="G15">
        <f>COUNTIF(Attributes!A:A,objects!A15)</f>
        <v>11</v>
      </c>
      <c r="H15" t="s">
        <v>82</v>
      </c>
      <c r="I15">
        <v>11</v>
      </c>
    </row>
    <row r="16" spans="1:13" ht="43.5">
      <c r="A16" s="7" t="s">
        <v>87</v>
      </c>
      <c r="B16" s="7" t="s">
        <v>84</v>
      </c>
      <c r="C16" s="1" t="s">
        <v>88</v>
      </c>
      <c r="D16" s="1" t="s">
        <v>76</v>
      </c>
      <c r="E16" s="1" t="s">
        <v>77</v>
      </c>
      <c r="F16" s="1" t="s">
        <v>89</v>
      </c>
      <c r="G16">
        <f>COUNTIF(Attributes!A:A,objects!A16)</f>
        <v>0</v>
      </c>
      <c r="H16" t="s">
        <v>82</v>
      </c>
      <c r="I16">
        <v>12</v>
      </c>
    </row>
    <row r="17" spans="1:10" ht="57.95">
      <c r="A17" s="3" t="s">
        <v>90</v>
      </c>
      <c r="B17" s="3" t="s">
        <v>91</v>
      </c>
      <c r="C17" s="5" t="s">
        <v>92</v>
      </c>
      <c r="D17" s="5" t="s">
        <v>93</v>
      </c>
      <c r="E17" s="5" t="s">
        <v>94</v>
      </c>
      <c r="F17" s="6" t="s">
        <v>95</v>
      </c>
      <c r="G17">
        <f>COUNTIF(Attributes!A:A,objects!A17)</f>
        <v>4</v>
      </c>
      <c r="H17" t="s">
        <v>27</v>
      </c>
      <c r="I17">
        <v>19</v>
      </c>
      <c r="J17" t="s">
        <v>58</v>
      </c>
    </row>
    <row r="18" spans="1:10" ht="57.95">
      <c r="A18" s="3" t="s">
        <v>96</v>
      </c>
      <c r="B18" s="3" t="s">
        <v>91</v>
      </c>
      <c r="C18" s="5" t="s">
        <v>97</v>
      </c>
      <c r="D18" s="5" t="s">
        <v>98</v>
      </c>
      <c r="E18" s="5" t="s">
        <v>99</v>
      </c>
      <c r="F18" s="5" t="s">
        <v>100</v>
      </c>
      <c r="G18">
        <f>COUNTIF(Attributes!A:A,objects!A18)</f>
        <v>0</v>
      </c>
      <c r="H18" t="s">
        <v>27</v>
      </c>
      <c r="I18">
        <v>13</v>
      </c>
      <c r="J18">
        <v>1</v>
      </c>
    </row>
    <row r="19" spans="1:10" ht="54.75" customHeight="1">
      <c r="A19" s="3" t="s">
        <v>101</v>
      </c>
      <c r="B19" t="s">
        <v>14</v>
      </c>
      <c r="C19" s="16" t="s">
        <v>102</v>
      </c>
      <c r="D19" s="16" t="s">
        <v>103</v>
      </c>
      <c r="E19" s="16" t="s">
        <v>104</v>
      </c>
      <c r="F19" s="16" t="s">
        <v>105</v>
      </c>
      <c r="H19" t="s">
        <v>27</v>
      </c>
      <c r="I19">
        <v>0</v>
      </c>
    </row>
    <row r="20" spans="1:10" ht="43.5">
      <c r="A20" s="3" t="s">
        <v>106</v>
      </c>
      <c r="B20" t="s">
        <v>53</v>
      </c>
      <c r="C20" s="16" t="s">
        <v>107</v>
      </c>
      <c r="D20" s="16" t="s">
        <v>108</v>
      </c>
      <c r="E20" s="16" t="s">
        <v>109</v>
      </c>
      <c r="F20" s="16" t="s">
        <v>110</v>
      </c>
      <c r="H20" t="s">
        <v>27</v>
      </c>
      <c r="I20">
        <v>0</v>
      </c>
    </row>
  </sheetData>
  <autoFilter ref="A1:M20" xr:uid="{BF98BEB6-65EB-437D-B437-4DFA85EC4A08}"/>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J171"/>
  <sheetViews>
    <sheetView zoomScale="115" zoomScaleNormal="115" workbookViewId="0">
      <pane xSplit="2" topLeftCell="C1" activePane="topRight" state="frozen"/>
      <selection pane="topRight" activeCell="B168" sqref="B168"/>
      <selection activeCell="A2" sqref="A2"/>
    </sheetView>
  </sheetViews>
  <sheetFormatPr defaultRowHeight="14.45"/>
  <cols>
    <col min="1" max="1" width="27.85546875" bestFit="1" customWidth="1"/>
    <col min="2" max="2" width="39.85546875" bestFit="1" customWidth="1"/>
    <col min="3" max="3" width="81.7109375" style="1" customWidth="1"/>
    <col min="4" max="4" width="36.5703125" bestFit="1" customWidth="1"/>
    <col min="5" max="5" width="46.85546875" bestFit="1" customWidth="1"/>
    <col min="6" max="6" width="30.7109375" customWidth="1"/>
    <col min="7" max="7" width="96.5703125" style="16" customWidth="1"/>
    <col min="8" max="8" width="12.42578125" bestFit="1" customWidth="1"/>
    <col min="9" max="9" width="19.7109375" bestFit="1" customWidth="1"/>
    <col min="10" max="10" width="34" bestFit="1" customWidth="1"/>
  </cols>
  <sheetData>
    <row r="1" spans="1:10">
      <c r="A1" s="3" t="s">
        <v>111</v>
      </c>
      <c r="B1" s="3" t="s">
        <v>0</v>
      </c>
      <c r="C1" s="2" t="s">
        <v>2</v>
      </c>
      <c r="D1" s="3" t="s">
        <v>112</v>
      </c>
      <c r="E1" s="3" t="s">
        <v>113</v>
      </c>
      <c r="F1" s="3" t="s">
        <v>114</v>
      </c>
      <c r="G1" s="24" t="s">
        <v>115</v>
      </c>
      <c r="H1" t="s">
        <v>116</v>
      </c>
      <c r="I1" t="s">
        <v>117</v>
      </c>
      <c r="J1" t="s">
        <v>118</v>
      </c>
    </row>
    <row r="2" spans="1:10" hidden="1">
      <c r="A2" s="33" t="s">
        <v>52</v>
      </c>
      <c r="B2" s="33" t="s">
        <v>119</v>
      </c>
      <c r="C2" s="33" t="s">
        <v>120</v>
      </c>
      <c r="F2" t="s">
        <v>121</v>
      </c>
    </row>
    <row r="3" spans="1:10" hidden="1">
      <c r="A3" s="33" t="s">
        <v>52</v>
      </c>
      <c r="B3" s="33" t="s">
        <v>122</v>
      </c>
      <c r="C3" s="33" t="s">
        <v>123</v>
      </c>
      <c r="F3" t="s">
        <v>124</v>
      </c>
    </row>
    <row r="4" spans="1:10" hidden="1">
      <c r="A4" s="33" t="s">
        <v>52</v>
      </c>
      <c r="B4" s="33" t="s">
        <v>125</v>
      </c>
      <c r="C4" s="33" t="s">
        <v>126</v>
      </c>
      <c r="F4" t="s">
        <v>127</v>
      </c>
    </row>
    <row r="5" spans="1:10" hidden="1">
      <c r="A5" s="33" t="s">
        <v>52</v>
      </c>
      <c r="B5" s="33" t="s">
        <v>128</v>
      </c>
      <c r="C5" s="33" t="s">
        <v>129</v>
      </c>
      <c r="F5" t="s">
        <v>130</v>
      </c>
    </row>
    <row r="6" spans="1:10" hidden="1">
      <c r="A6" s="33" t="s">
        <v>52</v>
      </c>
      <c r="B6" s="33" t="s">
        <v>131</v>
      </c>
      <c r="C6" s="33" t="s">
        <v>132</v>
      </c>
      <c r="F6" t="s">
        <v>133</v>
      </c>
    </row>
    <row r="7" spans="1:10" hidden="1">
      <c r="A7" s="33" t="s">
        <v>52</v>
      </c>
      <c r="B7" s="33" t="s">
        <v>134</v>
      </c>
      <c r="C7" s="33" t="s">
        <v>135</v>
      </c>
      <c r="F7" t="s">
        <v>136</v>
      </c>
    </row>
    <row r="8" spans="1:10" hidden="1">
      <c r="A8" s="33" t="s">
        <v>52</v>
      </c>
      <c r="B8" s="33" t="s">
        <v>137</v>
      </c>
      <c r="C8" s="33" t="s">
        <v>138</v>
      </c>
      <c r="F8" t="s">
        <v>139</v>
      </c>
    </row>
    <row r="9" spans="1:10" ht="107.25" hidden="1" customHeight="1">
      <c r="A9" s="33" t="s">
        <v>52</v>
      </c>
      <c r="B9" s="33" t="s">
        <v>140</v>
      </c>
      <c r="C9" s="33" t="s">
        <v>141</v>
      </c>
      <c r="F9" t="s">
        <v>130</v>
      </c>
      <c r="G9" s="16" t="s">
        <v>142</v>
      </c>
    </row>
    <row r="10" spans="1:10" hidden="1">
      <c r="A10" s="33" t="s">
        <v>52</v>
      </c>
      <c r="B10" s="33" t="s">
        <v>143</v>
      </c>
      <c r="C10" s="33" t="s">
        <v>144</v>
      </c>
      <c r="F10" t="s">
        <v>145</v>
      </c>
    </row>
    <row r="11" spans="1:10">
      <c r="A11" t="s">
        <v>90</v>
      </c>
      <c r="B11" t="s">
        <v>146</v>
      </c>
      <c r="C11" t="s">
        <v>147</v>
      </c>
      <c r="F11" t="s">
        <v>148</v>
      </c>
    </row>
    <row r="12" spans="1:10">
      <c r="A12" t="s">
        <v>90</v>
      </c>
      <c r="B12" t="s">
        <v>119</v>
      </c>
      <c r="C12" t="s">
        <v>149</v>
      </c>
      <c r="F12" t="s">
        <v>150</v>
      </c>
    </row>
    <row r="13" spans="1:10">
      <c r="A13" t="s">
        <v>90</v>
      </c>
      <c r="B13" t="s">
        <v>151</v>
      </c>
      <c r="C13" t="s">
        <v>152</v>
      </c>
      <c r="F13" t="s">
        <v>150</v>
      </c>
    </row>
    <row r="14" spans="1:10">
      <c r="A14" t="s">
        <v>90</v>
      </c>
      <c r="B14" t="s">
        <v>153</v>
      </c>
      <c r="C14" t="s">
        <v>154</v>
      </c>
      <c r="F14" t="s">
        <v>155</v>
      </c>
      <c r="G14" s="16">
        <v>0.05</v>
      </c>
    </row>
    <row r="15" spans="1:10">
      <c r="A15" t="s">
        <v>156</v>
      </c>
      <c r="B15" t="s">
        <v>151</v>
      </c>
      <c r="C15" t="s">
        <v>157</v>
      </c>
      <c r="F15" t="s">
        <v>148</v>
      </c>
    </row>
    <row r="16" spans="1:10">
      <c r="A16" t="s">
        <v>156</v>
      </c>
      <c r="B16" t="s">
        <v>158</v>
      </c>
      <c r="C16" t="s">
        <v>159</v>
      </c>
      <c r="F16" t="s">
        <v>160</v>
      </c>
      <c r="G16" s="16" t="s">
        <v>161</v>
      </c>
    </row>
    <row r="17" spans="1:7">
      <c r="A17" t="s">
        <v>156</v>
      </c>
      <c r="B17" t="s">
        <v>162</v>
      </c>
      <c r="C17" t="s">
        <v>163</v>
      </c>
      <c r="F17" t="s">
        <v>164</v>
      </c>
    </row>
    <row r="18" spans="1:7">
      <c r="A18" t="s">
        <v>156</v>
      </c>
      <c r="B18" t="s">
        <v>165</v>
      </c>
      <c r="C18" t="s">
        <v>166</v>
      </c>
      <c r="F18" t="s">
        <v>164</v>
      </c>
    </row>
    <row r="19" spans="1:7">
      <c r="A19" t="s">
        <v>156</v>
      </c>
      <c r="B19" t="s">
        <v>167</v>
      </c>
      <c r="C19" t="s">
        <v>168</v>
      </c>
      <c r="F19" t="s">
        <v>130</v>
      </c>
    </row>
    <row r="20" spans="1:7" ht="43.5">
      <c r="A20" t="s">
        <v>156</v>
      </c>
      <c r="B20" t="s">
        <v>169</v>
      </c>
      <c r="C20" s="5" t="s">
        <v>170</v>
      </c>
      <c r="D20" s="4" t="s">
        <v>171</v>
      </c>
      <c r="E20" s="6" t="s">
        <v>172</v>
      </c>
      <c r="F20" t="s">
        <v>130</v>
      </c>
      <c r="G20" s="6" t="s">
        <v>173</v>
      </c>
    </row>
    <row r="21" spans="1:7">
      <c r="A21" t="s">
        <v>156</v>
      </c>
      <c r="B21" t="s">
        <v>174</v>
      </c>
      <c r="C21" t="s">
        <v>175</v>
      </c>
      <c r="F21" t="s">
        <v>130</v>
      </c>
      <c r="G21" s="6" t="s">
        <v>176</v>
      </c>
    </row>
    <row r="22" spans="1:7">
      <c r="A22" t="s">
        <v>156</v>
      </c>
      <c r="B22" t="s">
        <v>177</v>
      </c>
      <c r="C22" t="s">
        <v>178</v>
      </c>
      <c r="F22" t="s">
        <v>160</v>
      </c>
      <c r="G22" s="16" t="s">
        <v>179</v>
      </c>
    </row>
    <row r="23" spans="1:7" hidden="1">
      <c r="A23" t="s">
        <v>13</v>
      </c>
      <c r="B23" t="s">
        <v>180</v>
      </c>
      <c r="C23" t="s">
        <v>181</v>
      </c>
      <c r="F23" t="s">
        <v>148</v>
      </c>
    </row>
    <row r="24" spans="1:7" hidden="1">
      <c r="A24" t="s">
        <v>13</v>
      </c>
      <c r="B24" t="s">
        <v>182</v>
      </c>
      <c r="C24" t="s">
        <v>183</v>
      </c>
      <c r="F24" t="s">
        <v>160</v>
      </c>
    </row>
    <row r="25" spans="1:7" hidden="1">
      <c r="A25" t="s">
        <v>13</v>
      </c>
      <c r="B25" t="s">
        <v>184</v>
      </c>
      <c r="C25" t="s">
        <v>185</v>
      </c>
      <c r="F25" t="s">
        <v>164</v>
      </c>
    </row>
    <row r="26" spans="1:7" hidden="1">
      <c r="A26" t="s">
        <v>13</v>
      </c>
      <c r="B26" t="s">
        <v>186</v>
      </c>
      <c r="C26" t="s">
        <v>187</v>
      </c>
      <c r="F26" t="s">
        <v>164</v>
      </c>
    </row>
    <row r="27" spans="1:7" hidden="1">
      <c r="A27" t="s">
        <v>13</v>
      </c>
      <c r="B27" t="s">
        <v>188</v>
      </c>
      <c r="C27" t="s">
        <v>189</v>
      </c>
      <c r="F27" t="s">
        <v>164</v>
      </c>
    </row>
    <row r="28" spans="1:7" hidden="1">
      <c r="A28" t="s">
        <v>13</v>
      </c>
      <c r="B28" t="s">
        <v>190</v>
      </c>
      <c r="C28" t="s">
        <v>191</v>
      </c>
      <c r="D28" t="s">
        <v>192</v>
      </c>
      <c r="E28" t="s">
        <v>193</v>
      </c>
    </row>
    <row r="29" spans="1:7" hidden="1">
      <c r="A29" t="s">
        <v>13</v>
      </c>
      <c r="B29" t="s">
        <v>194</v>
      </c>
      <c r="C29" t="s">
        <v>195</v>
      </c>
      <c r="F29" t="s">
        <v>196</v>
      </c>
    </row>
    <row r="30" spans="1:7" hidden="1">
      <c r="A30" t="s">
        <v>13</v>
      </c>
      <c r="B30" t="s">
        <v>197</v>
      </c>
      <c r="C30" t="s">
        <v>198</v>
      </c>
      <c r="D30" t="s">
        <v>199</v>
      </c>
      <c r="E30" t="s">
        <v>200</v>
      </c>
      <c r="F30" t="s">
        <v>201</v>
      </c>
    </row>
    <row r="31" spans="1:7" hidden="1">
      <c r="A31" t="s">
        <v>13</v>
      </c>
      <c r="B31" t="s">
        <v>202</v>
      </c>
      <c r="C31" t="s">
        <v>203</v>
      </c>
    </row>
    <row r="32" spans="1:7" hidden="1">
      <c r="A32" t="s">
        <v>13</v>
      </c>
      <c r="B32" t="s">
        <v>204</v>
      </c>
      <c r="C32" t="s">
        <v>205</v>
      </c>
    </row>
    <row r="33" spans="1:7" hidden="1">
      <c r="A33" t="s">
        <v>13</v>
      </c>
      <c r="B33" t="s">
        <v>206</v>
      </c>
      <c r="C33" t="s">
        <v>207</v>
      </c>
      <c r="D33" t="s">
        <v>208</v>
      </c>
      <c r="E33" t="s">
        <v>209</v>
      </c>
    </row>
    <row r="34" spans="1:7" ht="57.95" hidden="1">
      <c r="A34" t="s">
        <v>13</v>
      </c>
      <c r="B34" t="s">
        <v>210</v>
      </c>
      <c r="C34" t="s">
        <v>211</v>
      </c>
      <c r="D34" t="s">
        <v>212</v>
      </c>
      <c r="E34" t="s">
        <v>213</v>
      </c>
      <c r="G34" s="16" t="s">
        <v>214</v>
      </c>
    </row>
    <row r="35" spans="1:7" hidden="1">
      <c r="A35" t="s">
        <v>13</v>
      </c>
      <c r="B35" t="s">
        <v>215</v>
      </c>
      <c r="C35" t="s">
        <v>216</v>
      </c>
      <c r="G35" s="16" t="s">
        <v>217</v>
      </c>
    </row>
    <row r="36" spans="1:7" hidden="1">
      <c r="A36" t="s">
        <v>13</v>
      </c>
      <c r="B36" t="s">
        <v>218</v>
      </c>
      <c r="C36" t="s">
        <v>219</v>
      </c>
    </row>
    <row r="37" spans="1:7" hidden="1">
      <c r="A37" t="s">
        <v>13</v>
      </c>
      <c r="B37" t="s">
        <v>220</v>
      </c>
      <c r="C37" t="s">
        <v>219</v>
      </c>
    </row>
    <row r="38" spans="1:7" hidden="1">
      <c r="A38" t="s">
        <v>13</v>
      </c>
      <c r="B38" t="s">
        <v>221</v>
      </c>
      <c r="C38" t="s">
        <v>222</v>
      </c>
      <c r="F38" t="s">
        <v>223</v>
      </c>
    </row>
    <row r="39" spans="1:7" ht="130.5" hidden="1">
      <c r="A39" t="s">
        <v>13</v>
      </c>
      <c r="B39" t="s">
        <v>224</v>
      </c>
      <c r="C39" t="s">
        <v>225</v>
      </c>
      <c r="G39" s="6" t="s">
        <v>226</v>
      </c>
    </row>
    <row r="40" spans="1:7" hidden="1">
      <c r="A40" t="s">
        <v>13</v>
      </c>
      <c r="B40" t="s">
        <v>227</v>
      </c>
      <c r="C40" t="s">
        <v>228</v>
      </c>
    </row>
    <row r="41" spans="1:7" hidden="1">
      <c r="A41" t="s">
        <v>21</v>
      </c>
      <c r="B41" t="s">
        <v>229</v>
      </c>
      <c r="C41" t="s">
        <v>230</v>
      </c>
      <c r="D41" t="s">
        <v>231</v>
      </c>
      <c r="F41" t="s">
        <v>148</v>
      </c>
    </row>
    <row r="42" spans="1:7" hidden="1">
      <c r="A42" t="s">
        <v>21</v>
      </c>
      <c r="B42" t="s">
        <v>232</v>
      </c>
      <c r="C42" t="s">
        <v>233</v>
      </c>
      <c r="E42" t="s">
        <v>234</v>
      </c>
      <c r="F42" t="s">
        <v>160</v>
      </c>
    </row>
    <row r="43" spans="1:7" ht="43.5" hidden="1">
      <c r="A43" t="s">
        <v>21</v>
      </c>
      <c r="B43" t="s">
        <v>235</v>
      </c>
      <c r="C43" t="s">
        <v>236</v>
      </c>
      <c r="E43" t="s">
        <v>234</v>
      </c>
      <c r="F43" t="s">
        <v>237</v>
      </c>
      <c r="G43" s="16" t="s">
        <v>238</v>
      </c>
    </row>
    <row r="44" spans="1:7" ht="72.599999999999994" hidden="1">
      <c r="A44" t="s">
        <v>21</v>
      </c>
      <c r="B44" t="s">
        <v>239</v>
      </c>
      <c r="C44" t="s">
        <v>240</v>
      </c>
      <c r="F44" t="s">
        <v>237</v>
      </c>
      <c r="G44" s="16" t="s">
        <v>241</v>
      </c>
    </row>
    <row r="45" spans="1:7" ht="43.5" hidden="1">
      <c r="A45" t="s">
        <v>21</v>
      </c>
      <c r="B45" t="s">
        <v>242</v>
      </c>
      <c r="C45" t="s">
        <v>243</v>
      </c>
      <c r="F45" t="s">
        <v>237</v>
      </c>
      <c r="G45" s="16" t="s">
        <v>244</v>
      </c>
    </row>
    <row r="46" spans="1:7" hidden="1">
      <c r="A46" t="s">
        <v>47</v>
      </c>
      <c r="B46" t="s">
        <v>125</v>
      </c>
      <c r="C46" t="s">
        <v>245</v>
      </c>
    </row>
    <row r="47" spans="1:7" hidden="1">
      <c r="A47" t="s">
        <v>47</v>
      </c>
      <c r="B47" t="s">
        <v>242</v>
      </c>
      <c r="C47" t="s">
        <v>246</v>
      </c>
    </row>
    <row r="48" spans="1:7" hidden="1">
      <c r="A48" t="s">
        <v>47</v>
      </c>
      <c r="B48" t="s">
        <v>247</v>
      </c>
      <c r="C48" t="s">
        <v>248</v>
      </c>
    </row>
    <row r="49" spans="1:10" ht="26.45" hidden="1">
      <c r="A49" t="s">
        <v>47</v>
      </c>
      <c r="B49" t="s">
        <v>249</v>
      </c>
      <c r="C49" t="s">
        <v>250</v>
      </c>
      <c r="F49" t="s">
        <v>251</v>
      </c>
      <c r="G49" s="35" t="s">
        <v>252</v>
      </c>
    </row>
    <row r="50" spans="1:10" hidden="1">
      <c r="A50" t="s">
        <v>47</v>
      </c>
      <c r="B50" t="s">
        <v>253</v>
      </c>
      <c r="C50" t="s">
        <v>254</v>
      </c>
    </row>
    <row r="51" spans="1:10" hidden="1">
      <c r="A51" t="s">
        <v>47</v>
      </c>
      <c r="B51" t="s">
        <v>122</v>
      </c>
      <c r="C51" t="s">
        <v>255</v>
      </c>
      <c r="F51" t="s">
        <v>124</v>
      </c>
      <c r="J51" t="s">
        <v>256</v>
      </c>
    </row>
    <row r="52" spans="1:10" hidden="1">
      <c r="A52" t="s">
        <v>47</v>
      </c>
      <c r="B52" t="s">
        <v>257</v>
      </c>
      <c r="C52" t="s">
        <v>258</v>
      </c>
      <c r="F52" t="s">
        <v>139</v>
      </c>
      <c r="J52" t="s">
        <v>256</v>
      </c>
    </row>
    <row r="53" spans="1:10" hidden="1">
      <c r="A53" t="s">
        <v>47</v>
      </c>
      <c r="B53" t="s">
        <v>259</v>
      </c>
      <c r="C53" t="s">
        <v>260</v>
      </c>
      <c r="F53" t="s">
        <v>136</v>
      </c>
    </row>
    <row r="54" spans="1:10" hidden="1">
      <c r="A54" t="s">
        <v>47</v>
      </c>
      <c r="B54" t="s">
        <v>261</v>
      </c>
      <c r="C54" t="s">
        <v>262</v>
      </c>
      <c r="G54" s="16" t="s">
        <v>263</v>
      </c>
    </row>
    <row r="55" spans="1:10" hidden="1">
      <c r="A55" t="s">
        <v>47</v>
      </c>
      <c r="B55" t="s">
        <v>264</v>
      </c>
      <c r="C55" t="s">
        <v>265</v>
      </c>
    </row>
    <row r="56" spans="1:10" hidden="1">
      <c r="A56" t="s">
        <v>33</v>
      </c>
      <c r="B56" t="s">
        <v>266</v>
      </c>
      <c r="C56" s="1" t="s">
        <v>267</v>
      </c>
    </row>
    <row r="57" spans="1:10" hidden="1">
      <c r="A57" s="4" t="s">
        <v>33</v>
      </c>
      <c r="B57" t="s">
        <v>268</v>
      </c>
      <c r="C57" t="s">
        <v>269</v>
      </c>
    </row>
    <row r="58" spans="1:10" hidden="1">
      <c r="A58" s="4" t="s">
        <v>33</v>
      </c>
      <c r="B58" t="s">
        <v>270</v>
      </c>
      <c r="C58" t="s">
        <v>271</v>
      </c>
    </row>
    <row r="59" spans="1:10" hidden="1">
      <c r="A59" s="4" t="s">
        <v>33</v>
      </c>
      <c r="B59" t="s">
        <v>232</v>
      </c>
      <c r="C59" t="s">
        <v>272</v>
      </c>
      <c r="D59" t="s">
        <v>208</v>
      </c>
      <c r="E59" t="s">
        <v>273</v>
      </c>
    </row>
    <row r="60" spans="1:10" hidden="1">
      <c r="A60" s="4" t="s">
        <v>33</v>
      </c>
      <c r="B60" t="s">
        <v>274</v>
      </c>
      <c r="C60" t="s">
        <v>275</v>
      </c>
    </row>
    <row r="61" spans="1:10" ht="57.95" hidden="1">
      <c r="A61" s="4" t="s">
        <v>33</v>
      </c>
      <c r="B61" t="s">
        <v>221</v>
      </c>
      <c r="C61" s="6" t="s">
        <v>276</v>
      </c>
      <c r="D61" s="6" t="s">
        <v>277</v>
      </c>
      <c r="E61" s="6" t="s">
        <v>278</v>
      </c>
      <c r="F61" t="s">
        <v>223</v>
      </c>
      <c r="J61" t="s">
        <v>279</v>
      </c>
    </row>
    <row r="62" spans="1:10" hidden="1">
      <c r="A62" s="4" t="s">
        <v>33</v>
      </c>
      <c r="B62" t="s">
        <v>280</v>
      </c>
      <c r="C62" s="1" t="s">
        <v>281</v>
      </c>
      <c r="D62" s="6"/>
      <c r="E62" s="6"/>
    </row>
    <row r="63" spans="1:10" hidden="1">
      <c r="A63" s="4" t="s">
        <v>33</v>
      </c>
      <c r="B63" t="s">
        <v>282</v>
      </c>
      <c r="C63" s="1" t="s">
        <v>283</v>
      </c>
      <c r="D63" s="6"/>
      <c r="E63" s="6"/>
    </row>
    <row r="64" spans="1:10" hidden="1">
      <c r="A64" s="4" t="s">
        <v>33</v>
      </c>
      <c r="B64" t="s">
        <v>284</v>
      </c>
      <c r="C64" s="1" t="s">
        <v>285</v>
      </c>
      <c r="D64" s="6"/>
      <c r="E64" s="6"/>
    </row>
    <row r="65" spans="1:10" hidden="1">
      <c r="A65" t="s">
        <v>74</v>
      </c>
      <c r="B65" t="s">
        <v>286</v>
      </c>
      <c r="C65" t="s">
        <v>287</v>
      </c>
    </row>
    <row r="66" spans="1:10" hidden="1">
      <c r="A66" t="s">
        <v>74</v>
      </c>
      <c r="B66" t="s">
        <v>232</v>
      </c>
      <c r="C66" t="s">
        <v>288</v>
      </c>
      <c r="J66" t="s">
        <v>279</v>
      </c>
    </row>
    <row r="67" spans="1:10" hidden="1">
      <c r="A67" t="s">
        <v>74</v>
      </c>
      <c r="B67" t="s">
        <v>221</v>
      </c>
      <c r="C67" t="s">
        <v>289</v>
      </c>
      <c r="F67" t="s">
        <v>290</v>
      </c>
    </row>
    <row r="68" spans="1:10" hidden="1">
      <c r="A68" t="s">
        <v>74</v>
      </c>
      <c r="B68" t="s">
        <v>291</v>
      </c>
      <c r="C68" t="s">
        <v>292</v>
      </c>
      <c r="F68" t="s">
        <v>293</v>
      </c>
      <c r="G68" s="16" t="s">
        <v>294</v>
      </c>
    </row>
    <row r="69" spans="1:10" ht="43.5" hidden="1">
      <c r="A69" t="s">
        <v>74</v>
      </c>
      <c r="B69" t="s">
        <v>295</v>
      </c>
      <c r="C69" t="s">
        <v>296</v>
      </c>
      <c r="F69" t="s">
        <v>293</v>
      </c>
      <c r="G69" s="16" t="s">
        <v>297</v>
      </c>
    </row>
    <row r="70" spans="1:10" hidden="1">
      <c r="A70" t="s">
        <v>74</v>
      </c>
      <c r="B70" t="s">
        <v>298</v>
      </c>
      <c r="C70" t="s">
        <v>299</v>
      </c>
    </row>
    <row r="71" spans="1:10" hidden="1">
      <c r="A71" t="s">
        <v>74</v>
      </c>
      <c r="B71" t="s">
        <v>300</v>
      </c>
      <c r="C71" t="s">
        <v>301</v>
      </c>
    </row>
    <row r="72" spans="1:10" hidden="1">
      <c r="A72" t="s">
        <v>74</v>
      </c>
      <c r="B72" s="4" t="s">
        <v>302</v>
      </c>
      <c r="C72"/>
    </row>
    <row r="73" spans="1:10" hidden="1">
      <c r="A73" t="s">
        <v>74</v>
      </c>
      <c r="B73" s="4" t="s">
        <v>303</v>
      </c>
      <c r="C73"/>
    </row>
    <row r="74" spans="1:10" hidden="1">
      <c r="A74" t="s">
        <v>74</v>
      </c>
      <c r="B74" s="4" t="s">
        <v>304</v>
      </c>
      <c r="C74"/>
    </row>
    <row r="75" spans="1:10" hidden="1">
      <c r="A75" t="s">
        <v>74</v>
      </c>
      <c r="B75" s="4" t="s">
        <v>305</v>
      </c>
      <c r="C75"/>
    </row>
    <row r="76" spans="1:10" hidden="1">
      <c r="A76" s="4" t="s">
        <v>74</v>
      </c>
      <c r="B76" s="4" t="s">
        <v>306</v>
      </c>
      <c r="C76"/>
    </row>
    <row r="77" spans="1:10" hidden="1">
      <c r="A77" t="s">
        <v>74</v>
      </c>
      <c r="B77" t="s">
        <v>134</v>
      </c>
      <c r="C77" t="s">
        <v>307</v>
      </c>
      <c r="F77" t="s">
        <v>136</v>
      </c>
    </row>
    <row r="78" spans="1:10" hidden="1">
      <c r="A78" s="4" t="s">
        <v>74</v>
      </c>
      <c r="B78" s="4" t="s">
        <v>308</v>
      </c>
      <c r="C78" s="4" t="s">
        <v>309</v>
      </c>
      <c r="F78" t="s">
        <v>139</v>
      </c>
    </row>
    <row r="79" spans="1:10" hidden="1">
      <c r="A79" t="s">
        <v>74</v>
      </c>
      <c r="B79" t="s">
        <v>310</v>
      </c>
      <c r="C79" t="s">
        <v>311</v>
      </c>
    </row>
    <row r="80" spans="1:10" hidden="1">
      <c r="A80" t="s">
        <v>74</v>
      </c>
      <c r="B80" t="s">
        <v>312</v>
      </c>
      <c r="C80" s="4" t="s">
        <v>313</v>
      </c>
      <c r="F80" t="s">
        <v>127</v>
      </c>
    </row>
    <row r="81" spans="1:10" hidden="1">
      <c r="A81" t="s">
        <v>74</v>
      </c>
      <c r="B81" t="s">
        <v>314</v>
      </c>
      <c r="C81" t="s">
        <v>315</v>
      </c>
      <c r="F81" t="s">
        <v>316</v>
      </c>
      <c r="J81" t="s">
        <v>279</v>
      </c>
    </row>
    <row r="82" spans="1:10" hidden="1">
      <c r="A82" t="s">
        <v>74</v>
      </c>
      <c r="B82" t="s">
        <v>317</v>
      </c>
      <c r="C82" t="s">
        <v>318</v>
      </c>
    </row>
    <row r="83" spans="1:10" hidden="1">
      <c r="A83" t="s">
        <v>74</v>
      </c>
      <c r="B83" t="s">
        <v>319</v>
      </c>
      <c r="C83" t="s">
        <v>320</v>
      </c>
      <c r="F83" t="s">
        <v>321</v>
      </c>
    </row>
    <row r="84" spans="1:10" hidden="1">
      <c r="A84" s="4" t="s">
        <v>74</v>
      </c>
      <c r="B84" s="4" t="s">
        <v>322</v>
      </c>
      <c r="C84" s="4" t="s">
        <v>323</v>
      </c>
      <c r="J84" t="s">
        <v>279</v>
      </c>
    </row>
    <row r="85" spans="1:10" hidden="1">
      <c r="A85" s="4" t="s">
        <v>74</v>
      </c>
      <c r="B85" s="4" t="s">
        <v>324</v>
      </c>
      <c r="C85" s="4" t="s">
        <v>325</v>
      </c>
    </row>
    <row r="86" spans="1:10" hidden="1">
      <c r="A86" s="4" t="s">
        <v>74</v>
      </c>
      <c r="B86" s="4" t="s">
        <v>326</v>
      </c>
      <c r="C86" s="4"/>
    </row>
    <row r="87" spans="1:10" hidden="1">
      <c r="A87" s="4" t="s">
        <v>74</v>
      </c>
      <c r="B87" s="4" t="s">
        <v>327</v>
      </c>
      <c r="C87" s="4" t="s">
        <v>328</v>
      </c>
    </row>
    <row r="88" spans="1:10" hidden="1">
      <c r="A88" s="4" t="s">
        <v>74</v>
      </c>
      <c r="B88" s="4" t="s">
        <v>329</v>
      </c>
      <c r="C88" s="4" t="s">
        <v>330</v>
      </c>
    </row>
    <row r="89" spans="1:10" hidden="1">
      <c r="A89" t="s">
        <v>42</v>
      </c>
      <c r="B89" t="s">
        <v>331</v>
      </c>
      <c r="C89" t="s">
        <v>332</v>
      </c>
      <c r="D89" t="s">
        <v>333</v>
      </c>
    </row>
    <row r="90" spans="1:10" hidden="1">
      <c r="A90" t="s">
        <v>42</v>
      </c>
      <c r="B90" t="s">
        <v>180</v>
      </c>
      <c r="C90" t="s">
        <v>334</v>
      </c>
      <c r="F90" t="s">
        <v>335</v>
      </c>
    </row>
    <row r="91" spans="1:10" ht="15" hidden="1">
      <c r="A91" s="3" t="s">
        <v>42</v>
      </c>
      <c r="B91" t="s">
        <v>229</v>
      </c>
    </row>
    <row r="92" spans="1:10" ht="29.25" hidden="1">
      <c r="A92" t="s">
        <v>42</v>
      </c>
      <c r="B92" t="s">
        <v>336</v>
      </c>
      <c r="C92" t="s">
        <v>337</v>
      </c>
      <c r="D92" t="s">
        <v>338</v>
      </c>
      <c r="E92" s="6" t="s">
        <v>339</v>
      </c>
      <c r="F92" t="s">
        <v>340</v>
      </c>
    </row>
    <row r="93" spans="1:10" ht="15" hidden="1">
      <c r="A93" t="s">
        <v>42</v>
      </c>
      <c r="B93" t="s">
        <v>188</v>
      </c>
      <c r="C93" t="s">
        <v>341</v>
      </c>
    </row>
    <row r="94" spans="1:10" ht="15" hidden="1">
      <c r="A94" t="s">
        <v>42</v>
      </c>
      <c r="B94" t="s">
        <v>342</v>
      </c>
      <c r="C94" t="s">
        <v>343</v>
      </c>
    </row>
    <row r="95" spans="1:10" ht="15" hidden="1">
      <c r="A95" t="s">
        <v>42</v>
      </c>
      <c r="B95" t="s">
        <v>266</v>
      </c>
      <c r="C95" s="1" t="s">
        <v>344</v>
      </c>
    </row>
    <row r="96" spans="1:10" ht="15" hidden="1">
      <c r="A96" t="s">
        <v>42</v>
      </c>
      <c r="B96" t="s">
        <v>232</v>
      </c>
      <c r="C96" t="s">
        <v>345</v>
      </c>
    </row>
    <row r="97" spans="1:6" ht="15" hidden="1">
      <c r="A97" t="s">
        <v>42</v>
      </c>
      <c r="B97" t="s">
        <v>346</v>
      </c>
      <c r="C97" t="s">
        <v>347</v>
      </c>
      <c r="D97" t="s">
        <v>348</v>
      </c>
      <c r="E97" t="s">
        <v>349</v>
      </c>
    </row>
    <row r="98" spans="1:6" ht="15" hidden="1">
      <c r="A98" t="s">
        <v>42</v>
      </c>
      <c r="B98" t="s">
        <v>350</v>
      </c>
      <c r="C98" t="s">
        <v>351</v>
      </c>
      <c r="D98" t="s">
        <v>348</v>
      </c>
      <c r="E98" t="s">
        <v>349</v>
      </c>
    </row>
    <row r="99" spans="1:6" ht="15" hidden="1">
      <c r="A99" t="s">
        <v>42</v>
      </c>
      <c r="B99" t="s">
        <v>284</v>
      </c>
      <c r="C99" s="1" t="s">
        <v>285</v>
      </c>
    </row>
    <row r="100" spans="1:6" ht="15" hidden="1">
      <c r="A100" t="s">
        <v>42</v>
      </c>
      <c r="B100" t="s">
        <v>282</v>
      </c>
      <c r="C100" s="1" t="s">
        <v>283</v>
      </c>
    </row>
    <row r="101" spans="1:6" ht="15" hidden="1">
      <c r="A101" t="s">
        <v>42</v>
      </c>
      <c r="B101" t="s">
        <v>280</v>
      </c>
      <c r="C101" s="1" t="s">
        <v>281</v>
      </c>
    </row>
    <row r="102" spans="1:6" ht="15" hidden="1">
      <c r="A102" t="s">
        <v>42</v>
      </c>
      <c r="B102" t="s">
        <v>186</v>
      </c>
      <c r="C102" t="s">
        <v>352</v>
      </c>
    </row>
    <row r="103" spans="1:6" ht="15" hidden="1">
      <c r="A103" t="s">
        <v>42</v>
      </c>
      <c r="B103" t="s">
        <v>353</v>
      </c>
      <c r="C103" t="s">
        <v>354</v>
      </c>
    </row>
    <row r="104" spans="1:6" ht="15" hidden="1">
      <c r="A104" t="s">
        <v>42</v>
      </c>
      <c r="B104" t="s">
        <v>355</v>
      </c>
      <c r="C104" t="s">
        <v>356</v>
      </c>
      <c r="D104" t="s">
        <v>208</v>
      </c>
    </row>
    <row r="105" spans="1:6" ht="15" hidden="1">
      <c r="A105" t="s">
        <v>42</v>
      </c>
      <c r="B105" t="s">
        <v>357</v>
      </c>
      <c r="C105" t="s">
        <v>358</v>
      </c>
      <c r="F105" t="s">
        <v>136</v>
      </c>
    </row>
    <row r="106" spans="1:6" hidden="1">
      <c r="A106" t="s">
        <v>28</v>
      </c>
      <c r="B106" t="s">
        <v>232</v>
      </c>
      <c r="C106" t="s">
        <v>359</v>
      </c>
      <c r="F106" t="s">
        <v>160</v>
      </c>
    </row>
    <row r="107" spans="1:6" hidden="1">
      <c r="A107" t="s">
        <v>28</v>
      </c>
      <c r="B107" t="s">
        <v>360</v>
      </c>
      <c r="C107" t="s">
        <v>361</v>
      </c>
      <c r="F107" t="s">
        <v>160</v>
      </c>
    </row>
    <row r="108" spans="1:6" hidden="1">
      <c r="A108" t="s">
        <v>28</v>
      </c>
      <c r="B108" t="s">
        <v>362</v>
      </c>
      <c r="C108" t="s">
        <v>363</v>
      </c>
      <c r="F108" t="s">
        <v>364</v>
      </c>
    </row>
    <row r="109" spans="1:6" hidden="1">
      <c r="A109" t="s">
        <v>59</v>
      </c>
      <c r="B109" t="s">
        <v>137</v>
      </c>
      <c r="C109" t="s">
        <v>365</v>
      </c>
    </row>
    <row r="110" spans="1:6" hidden="1">
      <c r="A110" t="s">
        <v>59</v>
      </c>
      <c r="B110" t="s">
        <v>366</v>
      </c>
      <c r="C110"/>
    </row>
    <row r="111" spans="1:6" hidden="1">
      <c r="A111" t="s">
        <v>59</v>
      </c>
      <c r="B111" t="s">
        <v>280</v>
      </c>
      <c r="C111" s="1" t="s">
        <v>281</v>
      </c>
      <c r="F111" t="s">
        <v>367</v>
      </c>
    </row>
    <row r="112" spans="1:6" hidden="1">
      <c r="A112" t="s">
        <v>59</v>
      </c>
      <c r="B112" t="s">
        <v>282</v>
      </c>
      <c r="C112" s="1" t="s">
        <v>283</v>
      </c>
      <c r="F112" t="s">
        <v>160</v>
      </c>
    </row>
    <row r="113" spans="1:10" hidden="1">
      <c r="A113" t="s">
        <v>59</v>
      </c>
      <c r="B113" t="s">
        <v>284</v>
      </c>
      <c r="C113" s="1" t="s">
        <v>285</v>
      </c>
      <c r="F113" t="s">
        <v>368</v>
      </c>
    </row>
    <row r="114" spans="1:10" hidden="1">
      <c r="B114" t="s">
        <v>369</v>
      </c>
      <c r="C114" t="s">
        <v>370</v>
      </c>
    </row>
    <row r="115" spans="1:10" hidden="1">
      <c r="A115" t="s">
        <v>69</v>
      </c>
      <c r="B115" t="s">
        <v>137</v>
      </c>
      <c r="C115"/>
      <c r="F115" t="s">
        <v>139</v>
      </c>
    </row>
    <row r="116" spans="1:10" hidden="1">
      <c r="A116" t="s">
        <v>69</v>
      </c>
      <c r="B116" t="s">
        <v>134</v>
      </c>
      <c r="C116"/>
      <c r="F116" t="s">
        <v>136</v>
      </c>
    </row>
    <row r="117" spans="1:10" hidden="1">
      <c r="A117" t="s">
        <v>69</v>
      </c>
      <c r="B117" t="s">
        <v>186</v>
      </c>
      <c r="C117" t="s">
        <v>371</v>
      </c>
      <c r="F117" t="s">
        <v>164</v>
      </c>
      <c r="J117" t="s">
        <v>279</v>
      </c>
    </row>
    <row r="118" spans="1:10" hidden="1">
      <c r="A118" t="s">
        <v>69</v>
      </c>
      <c r="B118" t="s">
        <v>188</v>
      </c>
      <c r="C118" t="s">
        <v>372</v>
      </c>
      <c r="F118" t="s">
        <v>164</v>
      </c>
      <c r="J118" t="s">
        <v>373</v>
      </c>
    </row>
    <row r="119" spans="1:10" hidden="1">
      <c r="A119" t="s">
        <v>69</v>
      </c>
      <c r="B119" t="s">
        <v>374</v>
      </c>
      <c r="C119" t="s">
        <v>375</v>
      </c>
      <c r="F119" t="s">
        <v>130</v>
      </c>
    </row>
    <row r="120" spans="1:10" hidden="1">
      <c r="A120" t="s">
        <v>64</v>
      </c>
      <c r="B120" t="s">
        <v>134</v>
      </c>
      <c r="C120"/>
      <c r="F120" t="s">
        <v>121</v>
      </c>
    </row>
    <row r="121" spans="1:10" hidden="1">
      <c r="A121" t="s">
        <v>64</v>
      </c>
      <c r="B121" t="s">
        <v>376</v>
      </c>
      <c r="C121"/>
      <c r="F121" t="s">
        <v>136</v>
      </c>
    </row>
    <row r="122" spans="1:10" hidden="1">
      <c r="A122" t="s">
        <v>64</v>
      </c>
      <c r="B122" t="s">
        <v>377</v>
      </c>
      <c r="C122" t="s">
        <v>378</v>
      </c>
      <c r="D122" t="s">
        <v>379</v>
      </c>
      <c r="E122" t="s">
        <v>380</v>
      </c>
      <c r="G122" s="16" t="s">
        <v>381</v>
      </c>
    </row>
    <row r="123" spans="1:10" hidden="1">
      <c r="A123" t="s">
        <v>64</v>
      </c>
      <c r="B123" t="s">
        <v>382</v>
      </c>
      <c r="C123" t="s">
        <v>383</v>
      </c>
      <c r="D123" t="s">
        <v>384</v>
      </c>
      <c r="E123" t="s">
        <v>385</v>
      </c>
      <c r="G123" s="16" t="s">
        <v>386</v>
      </c>
    </row>
    <row r="124" spans="1:10" hidden="1">
      <c r="A124" t="s">
        <v>64</v>
      </c>
      <c r="B124" t="s">
        <v>387</v>
      </c>
      <c r="C124" t="s">
        <v>388</v>
      </c>
      <c r="D124" t="s">
        <v>389</v>
      </c>
      <c r="E124" t="s">
        <v>390</v>
      </c>
    </row>
    <row r="125" spans="1:10" hidden="1">
      <c r="A125" t="s">
        <v>64</v>
      </c>
      <c r="B125" s="4" t="s">
        <v>391</v>
      </c>
      <c r="C125" t="s">
        <v>392</v>
      </c>
      <c r="F125" t="s">
        <v>393</v>
      </c>
      <c r="G125" s="16" t="s">
        <v>394</v>
      </c>
    </row>
    <row r="126" spans="1:10" ht="29.1" hidden="1">
      <c r="A126" t="s">
        <v>64</v>
      </c>
      <c r="B126" t="s">
        <v>395</v>
      </c>
      <c r="C126" t="s">
        <v>396</v>
      </c>
      <c r="D126" t="s">
        <v>397</v>
      </c>
      <c r="E126" t="s">
        <v>398</v>
      </c>
      <c r="F126" t="s">
        <v>393</v>
      </c>
      <c r="G126" s="16" t="s">
        <v>399</v>
      </c>
    </row>
    <row r="127" spans="1:10" hidden="1">
      <c r="A127" t="s">
        <v>64</v>
      </c>
      <c r="B127" t="s">
        <v>400</v>
      </c>
      <c r="C127" t="s">
        <v>401</v>
      </c>
      <c r="D127" t="s">
        <v>397</v>
      </c>
      <c r="E127" t="s">
        <v>398</v>
      </c>
    </row>
    <row r="128" spans="1:10" hidden="1">
      <c r="B128" t="s">
        <v>369</v>
      </c>
      <c r="C128" t="s">
        <v>402</v>
      </c>
    </row>
    <row r="129" spans="1:7" hidden="1">
      <c r="A129" t="s">
        <v>37</v>
      </c>
      <c r="B129" t="s">
        <v>331</v>
      </c>
      <c r="C129"/>
    </row>
    <row r="130" spans="1:7" hidden="1">
      <c r="A130" t="s">
        <v>37</v>
      </c>
      <c r="B130" t="s">
        <v>232</v>
      </c>
      <c r="C130" t="s">
        <v>403</v>
      </c>
    </row>
    <row r="131" spans="1:7" hidden="1">
      <c r="A131" t="s">
        <v>37</v>
      </c>
      <c r="B131" t="s">
        <v>242</v>
      </c>
      <c r="C131" t="s">
        <v>404</v>
      </c>
    </row>
    <row r="132" spans="1:7" hidden="1">
      <c r="A132" t="s">
        <v>37</v>
      </c>
      <c r="B132" t="s">
        <v>405</v>
      </c>
      <c r="C132" t="s">
        <v>406</v>
      </c>
    </row>
    <row r="133" spans="1:7" hidden="1">
      <c r="A133" t="s">
        <v>37</v>
      </c>
      <c r="B133" t="s">
        <v>407</v>
      </c>
      <c r="C133" t="s">
        <v>408</v>
      </c>
    </row>
    <row r="134" spans="1:7" s="4" customFormat="1" hidden="1">
      <c r="A134" s="4" t="s">
        <v>37</v>
      </c>
      <c r="B134" s="4" t="s">
        <v>409</v>
      </c>
      <c r="C134" s="4" t="s">
        <v>410</v>
      </c>
      <c r="D134" s="4" t="s">
        <v>208</v>
      </c>
      <c r="E134" s="4" t="s">
        <v>411</v>
      </c>
      <c r="G134" s="6"/>
    </row>
    <row r="135" spans="1:7" hidden="1">
      <c r="A135" t="s">
        <v>37</v>
      </c>
      <c r="B135" t="s">
        <v>412</v>
      </c>
      <c r="C135" t="s">
        <v>413</v>
      </c>
    </row>
    <row r="136" spans="1:7" hidden="1">
      <c r="A136" t="s">
        <v>37</v>
      </c>
      <c r="B136" t="s">
        <v>414</v>
      </c>
      <c r="C136" t="s">
        <v>415</v>
      </c>
    </row>
    <row r="137" spans="1:7" hidden="1">
      <c r="A137" s="4" t="s">
        <v>83</v>
      </c>
      <c r="B137" s="4" t="s">
        <v>342</v>
      </c>
      <c r="C137" s="5" t="s">
        <v>416</v>
      </c>
    </row>
    <row r="138" spans="1:7" ht="29.1" hidden="1">
      <c r="A138" s="4" t="s">
        <v>83</v>
      </c>
      <c r="B138" s="4" t="s">
        <v>247</v>
      </c>
      <c r="C138" s="5" t="s">
        <v>417</v>
      </c>
    </row>
    <row r="139" spans="1:7" hidden="1">
      <c r="A139" s="4" t="s">
        <v>83</v>
      </c>
      <c r="B139" s="4" t="s">
        <v>221</v>
      </c>
      <c r="C139" s="5" t="s">
        <v>418</v>
      </c>
      <c r="F139" t="s">
        <v>290</v>
      </c>
    </row>
    <row r="140" spans="1:7" hidden="1">
      <c r="A140" s="4" t="s">
        <v>83</v>
      </c>
      <c r="B140" s="4" t="s">
        <v>419</v>
      </c>
      <c r="C140" s="5" t="s">
        <v>420</v>
      </c>
    </row>
    <row r="141" spans="1:7" hidden="1">
      <c r="A141" s="4" t="s">
        <v>83</v>
      </c>
      <c r="B141" s="4" t="s">
        <v>421</v>
      </c>
      <c r="C141" s="5" t="s">
        <v>422</v>
      </c>
    </row>
    <row r="142" spans="1:7" hidden="1">
      <c r="A142" s="4" t="s">
        <v>83</v>
      </c>
      <c r="B142" s="4" t="s">
        <v>423</v>
      </c>
      <c r="C142" s="5" t="s">
        <v>424</v>
      </c>
    </row>
    <row r="143" spans="1:7" hidden="1">
      <c r="A143" s="4" t="s">
        <v>83</v>
      </c>
      <c r="B143" s="4" t="s">
        <v>425</v>
      </c>
      <c r="C143" s="5" t="s">
        <v>426</v>
      </c>
    </row>
    <row r="144" spans="1:7" ht="57.95" hidden="1">
      <c r="A144" s="4" t="s">
        <v>83</v>
      </c>
      <c r="B144" s="4" t="s">
        <v>427</v>
      </c>
      <c r="C144" s="5" t="s">
        <v>428</v>
      </c>
      <c r="G144" s="16" t="s">
        <v>429</v>
      </c>
    </row>
    <row r="145" spans="1:7" ht="29.1" hidden="1">
      <c r="A145" s="4" t="s">
        <v>83</v>
      </c>
      <c r="B145" s="4" t="s">
        <v>430</v>
      </c>
      <c r="C145" s="5" t="s">
        <v>431</v>
      </c>
    </row>
    <row r="146" spans="1:7" ht="29.1" hidden="1">
      <c r="A146" s="4" t="s">
        <v>83</v>
      </c>
      <c r="B146" s="4" t="s">
        <v>432</v>
      </c>
      <c r="C146" s="5" t="s">
        <v>433</v>
      </c>
    </row>
    <row r="147" spans="1:7" hidden="1">
      <c r="A147" s="4" t="s">
        <v>83</v>
      </c>
      <c r="B147" s="4" t="s">
        <v>134</v>
      </c>
      <c r="C147" s="5" t="s">
        <v>434</v>
      </c>
    </row>
    <row r="148" spans="1:7" hidden="1">
      <c r="A148" t="s">
        <v>101</v>
      </c>
      <c r="B148" t="s">
        <v>221</v>
      </c>
      <c r="C148" s="1" t="s">
        <v>435</v>
      </c>
      <c r="D148" t="s">
        <v>436</v>
      </c>
      <c r="E148" t="s">
        <v>437</v>
      </c>
      <c r="F148" t="s">
        <v>121</v>
      </c>
    </row>
    <row r="149" spans="1:7" hidden="1">
      <c r="A149" t="s">
        <v>101</v>
      </c>
      <c r="B149" t="s">
        <v>438</v>
      </c>
      <c r="C149" s="1" t="s">
        <v>439</v>
      </c>
      <c r="D149" t="s">
        <v>440</v>
      </c>
      <c r="F149" t="s">
        <v>441</v>
      </c>
    </row>
    <row r="150" spans="1:7" hidden="1">
      <c r="A150" t="s">
        <v>101</v>
      </c>
      <c r="B150" t="s">
        <v>232</v>
      </c>
      <c r="C150" s="1" t="s">
        <v>442</v>
      </c>
      <c r="F150" t="s">
        <v>160</v>
      </c>
    </row>
    <row r="151" spans="1:7" hidden="1">
      <c r="A151" t="s">
        <v>101</v>
      </c>
      <c r="B151" t="s">
        <v>443</v>
      </c>
      <c r="C151" s="1" t="s">
        <v>444</v>
      </c>
      <c r="F151" t="s">
        <v>130</v>
      </c>
      <c r="G151" s="16" t="s">
        <v>445</v>
      </c>
    </row>
    <row r="152" spans="1:7" hidden="1">
      <c r="A152" t="s">
        <v>101</v>
      </c>
      <c r="B152" t="s">
        <v>280</v>
      </c>
      <c r="C152" s="1" t="s">
        <v>281</v>
      </c>
      <c r="F152" t="s">
        <v>367</v>
      </c>
    </row>
    <row r="153" spans="1:7" hidden="1">
      <c r="A153" t="s">
        <v>101</v>
      </c>
      <c r="B153" t="s">
        <v>282</v>
      </c>
      <c r="C153" s="1" t="s">
        <v>283</v>
      </c>
      <c r="F153" t="s">
        <v>160</v>
      </c>
    </row>
    <row r="154" spans="1:7" hidden="1">
      <c r="A154" t="s">
        <v>101</v>
      </c>
      <c r="B154" t="s">
        <v>284</v>
      </c>
      <c r="C154" s="1" t="s">
        <v>285</v>
      </c>
      <c r="F154" t="s">
        <v>368</v>
      </c>
    </row>
    <row r="155" spans="1:7" hidden="1">
      <c r="A155" t="s">
        <v>106</v>
      </c>
      <c r="B155" t="s">
        <v>446</v>
      </c>
      <c r="C155" s="1" t="s">
        <v>447</v>
      </c>
    </row>
    <row r="156" spans="1:7" hidden="1">
      <c r="A156" t="s">
        <v>106</v>
      </c>
      <c r="B156" t="s">
        <v>247</v>
      </c>
      <c r="C156" s="1" t="s">
        <v>448</v>
      </c>
    </row>
    <row r="157" spans="1:7" hidden="1">
      <c r="A157" t="s">
        <v>106</v>
      </c>
      <c r="B157" t="s">
        <v>449</v>
      </c>
      <c r="C157" s="1" t="s">
        <v>450</v>
      </c>
    </row>
    <row r="158" spans="1:7" hidden="1">
      <c r="A158" t="s">
        <v>106</v>
      </c>
      <c r="B158" t="s">
        <v>451</v>
      </c>
      <c r="C158" s="1" t="s">
        <v>452</v>
      </c>
    </row>
    <row r="159" spans="1:7" hidden="1">
      <c r="A159" t="s">
        <v>106</v>
      </c>
      <c r="B159" t="s">
        <v>453</v>
      </c>
      <c r="C159" s="1" t="s">
        <v>454</v>
      </c>
    </row>
    <row r="160" spans="1:7" hidden="1">
      <c r="A160" t="s">
        <v>106</v>
      </c>
      <c r="B160" t="s">
        <v>455</v>
      </c>
    </row>
    <row r="161" spans="1:7" hidden="1">
      <c r="A161" t="s">
        <v>106</v>
      </c>
      <c r="B161" t="s">
        <v>456</v>
      </c>
    </row>
    <row r="162" spans="1:7" hidden="1">
      <c r="A162" t="s">
        <v>28</v>
      </c>
      <c r="B162" t="s">
        <v>457</v>
      </c>
      <c r="C162" s="1" t="s">
        <v>458</v>
      </c>
      <c r="F162" t="s">
        <v>121</v>
      </c>
    </row>
    <row r="163" spans="1:7" ht="15" hidden="1">
      <c r="A163" t="s">
        <v>42</v>
      </c>
      <c r="B163" t="s">
        <v>459</v>
      </c>
      <c r="C163" t="s">
        <v>460</v>
      </c>
      <c r="F163" t="s">
        <v>139</v>
      </c>
    </row>
    <row r="164" spans="1:7" ht="29.1" hidden="1">
      <c r="A164" s="3" t="s">
        <v>21</v>
      </c>
      <c r="B164" t="s">
        <v>461</v>
      </c>
      <c r="C164" s="1" t="s">
        <v>462</v>
      </c>
      <c r="E164" t="s">
        <v>463</v>
      </c>
      <c r="G164" s="16" t="s">
        <v>464</v>
      </c>
    </row>
    <row r="165" spans="1:7" hidden="1">
      <c r="A165" s="3" t="s">
        <v>64</v>
      </c>
      <c r="B165" t="s">
        <v>232</v>
      </c>
      <c r="C165" s="1" t="s">
        <v>465</v>
      </c>
      <c r="E165" t="s">
        <v>466</v>
      </c>
      <c r="F165" t="s">
        <v>160</v>
      </c>
      <c r="G165" s="16" t="s">
        <v>467</v>
      </c>
    </row>
    <row r="166" spans="1:7" ht="29.25" hidden="1">
      <c r="A166" s="39" t="s">
        <v>52</v>
      </c>
      <c r="B166" t="s">
        <v>468</v>
      </c>
      <c r="C166" s="1" t="s">
        <v>469</v>
      </c>
      <c r="D166" t="s">
        <v>470</v>
      </c>
      <c r="E166" t="s">
        <v>385</v>
      </c>
      <c r="F166" t="s">
        <v>471</v>
      </c>
    </row>
    <row r="167" spans="1:7" ht="29.25" hidden="1">
      <c r="A167" s="39" t="s">
        <v>52</v>
      </c>
      <c r="B167" t="s">
        <v>472</v>
      </c>
      <c r="C167" s="1" t="s">
        <v>473</v>
      </c>
      <c r="D167" t="s">
        <v>470</v>
      </c>
      <c r="E167" t="s">
        <v>385</v>
      </c>
      <c r="F167" t="s">
        <v>474</v>
      </c>
    </row>
    <row r="170" spans="1:7" ht="15"/>
    <row r="171" spans="1:7" ht="15"/>
  </sheetData>
  <sortState xmlns:xlrd2="http://schemas.microsoft.com/office/spreadsheetml/2017/richdata2" ref="A2:J105">
    <sortCondition ref="A2:A105"/>
  </sortState>
  <dataValidations count="1">
    <dataValidation allowBlank="1" showInputMessage="1" showErrorMessage="1" sqref="A1" xr:uid="{EAF3A632-FFC2-461F-8E3C-46D4F5CA1EA8}"/>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4.45"/>
  <cols>
    <col min="1" max="1" width="13.28515625" customWidth="1"/>
    <col min="2" max="2" width="13.42578125" customWidth="1"/>
    <col min="3" max="3" width="22" bestFit="1" customWidth="1"/>
    <col min="4" max="4" width="17" customWidth="1"/>
    <col min="5" max="5" width="13.42578125" customWidth="1"/>
    <col min="8" max="8" width="19.28515625" bestFit="1" customWidth="1"/>
    <col min="9" max="9" width="14.7109375" bestFit="1" customWidth="1"/>
    <col min="13" max="13" width="14.5703125" bestFit="1" customWidth="1"/>
    <col min="14" max="14" width="9" customWidth="1"/>
  </cols>
  <sheetData>
    <row r="1" spans="1:20">
      <c r="A1" s="3" t="s">
        <v>475</v>
      </c>
      <c r="B1" s="3" t="s">
        <v>476</v>
      </c>
      <c r="C1" s="3" t="s">
        <v>477</v>
      </c>
      <c r="D1" s="3" t="s">
        <v>478</v>
      </c>
      <c r="E1" s="28" t="s">
        <v>479</v>
      </c>
      <c r="F1" s="28" t="s">
        <v>480</v>
      </c>
      <c r="G1" t="s">
        <v>64</v>
      </c>
      <c r="H1" s="3" t="s">
        <v>481</v>
      </c>
      <c r="I1" s="3" t="s">
        <v>482</v>
      </c>
      <c r="K1" t="s">
        <v>483</v>
      </c>
      <c r="M1" t="s">
        <v>484</v>
      </c>
      <c r="N1" t="s">
        <v>485</v>
      </c>
      <c r="P1" s="4" t="s">
        <v>486</v>
      </c>
      <c r="Q1" s="4" t="s">
        <v>487</v>
      </c>
      <c r="R1" s="4" t="s">
        <v>488</v>
      </c>
      <c r="S1" s="4" t="s">
        <v>489</v>
      </c>
      <c r="T1" s="4" t="s">
        <v>490</v>
      </c>
    </row>
    <row r="2" spans="1:20">
      <c r="A2" s="3">
        <v>1</v>
      </c>
      <c r="B2" s="3">
        <v>1</v>
      </c>
      <c r="C2" s="3" t="s">
        <v>491</v>
      </c>
      <c r="D2" s="3" t="s">
        <v>492</v>
      </c>
      <c r="E2" s="28">
        <v>1</v>
      </c>
      <c r="F2" s="28">
        <v>1</v>
      </c>
      <c r="G2">
        <v>1</v>
      </c>
      <c r="H2" s="3" t="s">
        <v>493</v>
      </c>
      <c r="I2" s="3">
        <v>10</v>
      </c>
      <c r="K2" s="29">
        <v>0.1</v>
      </c>
      <c r="M2" s="30">
        <v>1000</v>
      </c>
      <c r="N2" s="30">
        <f>M2*K2</f>
        <v>100</v>
      </c>
    </row>
    <row r="3" spans="1:20">
      <c r="A3" s="3">
        <v>1</v>
      </c>
      <c r="B3" s="3">
        <v>2</v>
      </c>
      <c r="C3" s="3" t="s">
        <v>494</v>
      </c>
      <c r="D3" s="3" t="s">
        <v>495</v>
      </c>
      <c r="E3" s="28">
        <v>1</v>
      </c>
      <c r="F3" s="28">
        <v>5</v>
      </c>
      <c r="G3">
        <v>2</v>
      </c>
      <c r="H3" s="3" t="s">
        <v>496</v>
      </c>
      <c r="I3" s="3">
        <v>200</v>
      </c>
      <c r="K3" s="29">
        <v>0.02</v>
      </c>
      <c r="M3" s="30">
        <v>250</v>
      </c>
      <c r="N3" s="30">
        <f t="shared" ref="N3:N9" si="0">M3*K3</f>
        <v>5</v>
      </c>
    </row>
    <row r="4" spans="1:20">
      <c r="A4" s="3">
        <v>1</v>
      </c>
      <c r="B4" s="3">
        <v>2</v>
      </c>
      <c r="C4" s="3" t="s">
        <v>494</v>
      </c>
      <c r="D4" s="3" t="s">
        <v>497</v>
      </c>
      <c r="E4" s="28">
        <v>2</v>
      </c>
      <c r="F4" s="28"/>
      <c r="G4">
        <v>3</v>
      </c>
      <c r="H4" s="3" t="s">
        <v>498</v>
      </c>
      <c r="I4" s="3">
        <v>15</v>
      </c>
      <c r="K4" s="29">
        <v>0.6</v>
      </c>
      <c r="M4" s="30">
        <v>250</v>
      </c>
      <c r="N4" s="30">
        <f t="shared" si="0"/>
        <v>150</v>
      </c>
    </row>
    <row r="5" spans="1:20">
      <c r="A5" s="3">
        <v>2</v>
      </c>
      <c r="B5" s="3">
        <v>1</v>
      </c>
      <c r="C5" s="3" t="s">
        <v>491</v>
      </c>
      <c r="D5" s="3" t="s">
        <v>499</v>
      </c>
      <c r="E5" s="28">
        <v>3</v>
      </c>
      <c r="F5" s="28"/>
      <c r="G5">
        <v>4</v>
      </c>
      <c r="H5" s="3" t="s">
        <v>500</v>
      </c>
      <c r="I5" s="3">
        <v>1</v>
      </c>
      <c r="K5" s="29">
        <v>0.52</v>
      </c>
      <c r="M5" s="30">
        <v>1000</v>
      </c>
      <c r="N5" s="30">
        <f t="shared" si="0"/>
        <v>520</v>
      </c>
    </row>
    <row r="6" spans="1:20">
      <c r="A6" s="3">
        <v>3</v>
      </c>
      <c r="B6" s="3">
        <v>3</v>
      </c>
      <c r="C6" s="3" t="s">
        <v>74</v>
      </c>
      <c r="D6" s="3" t="s">
        <v>501</v>
      </c>
      <c r="E6" s="28">
        <v>4</v>
      </c>
      <c r="F6" s="28">
        <v>6</v>
      </c>
      <c r="G6">
        <v>5</v>
      </c>
      <c r="H6" s="3" t="s">
        <v>496</v>
      </c>
      <c r="I6" s="3">
        <v>0</v>
      </c>
      <c r="K6" s="29">
        <v>0.1</v>
      </c>
      <c r="M6" s="30">
        <v>555</v>
      </c>
      <c r="N6" s="30">
        <f t="shared" si="0"/>
        <v>55.5</v>
      </c>
    </row>
    <row r="7" spans="1:20">
      <c r="A7" s="3">
        <v>4</v>
      </c>
      <c r="B7" s="3">
        <v>4</v>
      </c>
      <c r="C7" s="3" t="s">
        <v>74</v>
      </c>
      <c r="D7" s="3" t="s">
        <v>502</v>
      </c>
      <c r="E7" s="28"/>
      <c r="F7" s="28">
        <v>5</v>
      </c>
      <c r="G7">
        <v>6</v>
      </c>
      <c r="H7" s="3" t="s">
        <v>498</v>
      </c>
      <c r="I7" s="3">
        <v>256</v>
      </c>
      <c r="K7" s="29">
        <v>1E-3</v>
      </c>
      <c r="M7" s="30">
        <v>789</v>
      </c>
      <c r="N7" s="30">
        <f t="shared" si="0"/>
        <v>0.78900000000000003</v>
      </c>
    </row>
    <row r="8" spans="1:20">
      <c r="A8" s="3">
        <v>5</v>
      </c>
      <c r="B8" s="3">
        <v>7</v>
      </c>
      <c r="C8" s="3" t="s">
        <v>74</v>
      </c>
      <c r="D8" s="3" t="s">
        <v>503</v>
      </c>
      <c r="E8" s="28">
        <v>6</v>
      </c>
      <c r="F8" s="28"/>
      <c r="G8">
        <v>7</v>
      </c>
      <c r="H8" s="3" t="s">
        <v>500</v>
      </c>
      <c r="I8" s="3">
        <v>24</v>
      </c>
      <c r="K8" s="29">
        <v>1E-3</v>
      </c>
      <c r="M8" s="30">
        <v>5</v>
      </c>
      <c r="N8" s="30">
        <f t="shared" si="0"/>
        <v>5.0000000000000001E-3</v>
      </c>
    </row>
    <row r="9" spans="1:20">
      <c r="A9" s="3">
        <v>8</v>
      </c>
      <c r="B9" s="3">
        <v>8</v>
      </c>
      <c r="C9" s="3" t="s">
        <v>74</v>
      </c>
      <c r="D9" s="3" t="s">
        <v>504</v>
      </c>
      <c r="E9" s="28"/>
      <c r="F9" s="28">
        <v>8</v>
      </c>
      <c r="G9">
        <v>8</v>
      </c>
      <c r="H9" s="3" t="s">
        <v>493</v>
      </c>
      <c r="I9" s="3">
        <v>51</v>
      </c>
      <c r="K9" s="29">
        <v>1E-3</v>
      </c>
      <c r="M9" s="30">
        <v>1000000</v>
      </c>
      <c r="N9" s="30">
        <f t="shared" si="0"/>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zoomScale="85" zoomScaleNormal="85" workbookViewId="0">
      <selection activeCell="C23" sqref="C23"/>
    </sheetView>
  </sheetViews>
  <sheetFormatPr defaultRowHeight="14.45"/>
  <cols>
    <col min="1" max="1" width="47.140625" bestFit="1" customWidth="1"/>
    <col min="2" max="2" width="41.7109375" style="16" customWidth="1"/>
    <col min="3" max="3" width="86" style="16" customWidth="1"/>
    <col min="4" max="4" width="12.7109375" style="16" customWidth="1"/>
    <col min="5" max="5" width="174" style="16" hidden="1" customWidth="1"/>
    <col min="6" max="6" width="0" hidden="1" customWidth="1"/>
  </cols>
  <sheetData>
    <row r="1" spans="1:4">
      <c r="A1" t="s">
        <v>0</v>
      </c>
      <c r="B1" s="16" t="s">
        <v>505</v>
      </c>
      <c r="C1" s="16" t="s">
        <v>2</v>
      </c>
      <c r="D1" s="16" t="s">
        <v>506</v>
      </c>
    </row>
    <row r="2" spans="1:4">
      <c r="A2" s="10" t="s">
        <v>507</v>
      </c>
      <c r="B2" s="17"/>
      <c r="C2" s="17" t="s">
        <v>508</v>
      </c>
      <c r="D2" s="17"/>
    </row>
    <row r="3" spans="1:4">
      <c r="A3" s="11" t="s">
        <v>509</v>
      </c>
      <c r="B3" s="17"/>
      <c r="C3" s="17" t="s">
        <v>510</v>
      </c>
      <c r="D3" s="17"/>
    </row>
    <row r="4" spans="1:4">
      <c r="A4" s="11" t="s">
        <v>511</v>
      </c>
      <c r="B4" s="17"/>
      <c r="C4" s="17" t="s">
        <v>512</v>
      </c>
      <c r="D4" s="17"/>
    </row>
    <row r="5" spans="1:4">
      <c r="A5" s="11" t="s">
        <v>513</v>
      </c>
      <c r="B5" s="17"/>
      <c r="C5" s="17" t="s">
        <v>514</v>
      </c>
      <c r="D5" s="17"/>
    </row>
    <row r="6" spans="1:4">
      <c r="A6" s="11" t="s">
        <v>515</v>
      </c>
      <c r="B6" s="17"/>
      <c r="C6" s="17" t="s">
        <v>516</v>
      </c>
      <c r="D6" s="17"/>
    </row>
    <row r="7" spans="1:4">
      <c r="A7" s="11" t="s">
        <v>517</v>
      </c>
      <c r="B7" s="17"/>
      <c r="C7" s="17" t="s">
        <v>518</v>
      </c>
      <c r="D7" s="17"/>
    </row>
    <row r="8" spans="1:4">
      <c r="A8" s="10" t="s">
        <v>519</v>
      </c>
      <c r="B8" s="17"/>
      <c r="C8" s="17"/>
      <c r="D8" s="17"/>
    </row>
    <row r="9" spans="1:4">
      <c r="A9" s="11" t="s">
        <v>520</v>
      </c>
      <c r="B9" s="17"/>
      <c r="C9" s="17" t="s">
        <v>521</v>
      </c>
      <c r="D9" s="17"/>
    </row>
    <row r="10" spans="1:4">
      <c r="A10" s="11" t="s">
        <v>522</v>
      </c>
      <c r="B10" s="17"/>
      <c r="C10" s="17" t="s">
        <v>523</v>
      </c>
      <c r="D10" s="17"/>
    </row>
    <row r="11" spans="1:4">
      <c r="A11" s="11" t="s">
        <v>524</v>
      </c>
      <c r="B11" s="17"/>
      <c r="C11" s="17" t="s">
        <v>525</v>
      </c>
      <c r="D11" s="17"/>
    </row>
    <row r="12" spans="1:4">
      <c r="A12" s="11" t="s">
        <v>526</v>
      </c>
      <c r="B12" s="17"/>
      <c r="C12" s="17" t="s">
        <v>527</v>
      </c>
      <c r="D12" s="17"/>
    </row>
    <row r="13" spans="1:4">
      <c r="A13" s="10" t="s">
        <v>528</v>
      </c>
      <c r="B13" s="17"/>
      <c r="C13" s="17"/>
      <c r="D13" s="17"/>
    </row>
    <row r="14" spans="1:4">
      <c r="A14" s="11" t="s">
        <v>529</v>
      </c>
      <c r="B14" s="17"/>
      <c r="C14" s="17" t="s">
        <v>530</v>
      </c>
      <c r="D14" s="17"/>
    </row>
    <row r="15" spans="1:4">
      <c r="A15" s="11" t="s">
        <v>531</v>
      </c>
      <c r="B15" s="17"/>
      <c r="C15" s="17" t="s">
        <v>532</v>
      </c>
      <c r="D15" s="17"/>
    </row>
    <row r="16" spans="1:4">
      <c r="A16" s="11" t="s">
        <v>533</v>
      </c>
      <c r="B16" s="17"/>
      <c r="C16" s="17" t="s">
        <v>534</v>
      </c>
      <c r="D16" s="17"/>
    </row>
    <row r="17" spans="1:6">
      <c r="A17" s="11" t="s">
        <v>535</v>
      </c>
      <c r="B17" s="17"/>
      <c r="C17" s="17" t="s">
        <v>536</v>
      </c>
      <c r="D17" s="17"/>
    </row>
    <row r="18" spans="1:6">
      <c r="E18" s="13" t="s">
        <v>537</v>
      </c>
      <c r="F18" s="7" t="s">
        <v>538</v>
      </c>
    </row>
    <row r="19" spans="1:6" ht="43.5">
      <c r="A19" s="12" t="s">
        <v>539</v>
      </c>
      <c r="B19" s="16" t="s">
        <v>540</v>
      </c>
      <c r="C19" s="16" t="s">
        <v>541</v>
      </c>
      <c r="E19" s="14" t="s">
        <v>542</v>
      </c>
      <c r="F19" s="8" t="s">
        <v>543</v>
      </c>
    </row>
    <row r="20" spans="1:6" ht="29.1">
      <c r="A20" s="12" t="s">
        <v>544</v>
      </c>
      <c r="B20" s="16" t="s">
        <v>545</v>
      </c>
      <c r="C20" s="16" t="s">
        <v>546</v>
      </c>
      <c r="E20" s="14" t="s">
        <v>547</v>
      </c>
      <c r="F20" s="8" t="s">
        <v>548</v>
      </c>
    </row>
    <row r="21" spans="1:6" ht="57.95">
      <c r="A21" s="12" t="s">
        <v>507</v>
      </c>
      <c r="B21" s="16" t="s">
        <v>549</v>
      </c>
      <c r="C21" s="16" t="s">
        <v>550</v>
      </c>
      <c r="D21" s="16" t="s">
        <v>551</v>
      </c>
      <c r="E21" s="14" t="s">
        <v>552</v>
      </c>
      <c r="F21" s="8" t="s">
        <v>553</v>
      </c>
    </row>
    <row r="22" spans="1:6" ht="29.1">
      <c r="A22" s="12" t="s">
        <v>554</v>
      </c>
      <c r="B22" s="16" t="s">
        <v>555</v>
      </c>
      <c r="C22" s="16" t="s">
        <v>556</v>
      </c>
      <c r="E22" s="14" t="s">
        <v>557</v>
      </c>
      <c r="F22" s="8" t="s">
        <v>558</v>
      </c>
    </row>
    <row r="23" spans="1:6" ht="130.5">
      <c r="A23" s="12" t="s">
        <v>559</v>
      </c>
      <c r="B23" s="16" t="s">
        <v>555</v>
      </c>
      <c r="C23" s="16" t="s">
        <v>560</v>
      </c>
      <c r="E23" s="14" t="s">
        <v>561</v>
      </c>
      <c r="F23" s="8" t="s">
        <v>562</v>
      </c>
    </row>
    <row r="24" spans="1:6" ht="231.95">
      <c r="A24" s="12" t="s">
        <v>563</v>
      </c>
      <c r="B24" s="16" t="s">
        <v>555</v>
      </c>
      <c r="C24" s="18" t="s">
        <v>564</v>
      </c>
      <c r="E24" s="14" t="s">
        <v>565</v>
      </c>
      <c r="F24" s="8" t="s">
        <v>566</v>
      </c>
    </row>
    <row r="25" spans="1:6" ht="57.95">
      <c r="A25" s="12" t="s">
        <v>567</v>
      </c>
      <c r="B25" s="16" t="s">
        <v>568</v>
      </c>
      <c r="C25" s="16" t="s">
        <v>569</v>
      </c>
      <c r="E25" s="14" t="s">
        <v>570</v>
      </c>
      <c r="F25" s="8" t="s">
        <v>571</v>
      </c>
    </row>
    <row r="26" spans="1:6" ht="116.1">
      <c r="A26" s="12" t="s">
        <v>572</v>
      </c>
      <c r="B26" s="16" t="s">
        <v>568</v>
      </c>
      <c r="C26" s="16" t="s">
        <v>573</v>
      </c>
      <c r="E26" s="14" t="s">
        <v>574</v>
      </c>
      <c r="F26" s="8" t="s">
        <v>575</v>
      </c>
    </row>
    <row r="27" spans="1:6" ht="57.95">
      <c r="A27" s="12" t="s">
        <v>576</v>
      </c>
      <c r="B27" s="16" t="s">
        <v>568</v>
      </c>
      <c r="E27" s="14" t="s">
        <v>577</v>
      </c>
      <c r="F27" s="8" t="s">
        <v>578</v>
      </c>
    </row>
    <row r="28" spans="1:6" ht="57.95">
      <c r="A28" s="12" t="s">
        <v>579</v>
      </c>
      <c r="B28" s="16" t="s">
        <v>568</v>
      </c>
      <c r="E28" s="14" t="s">
        <v>580</v>
      </c>
      <c r="F28" s="15" t="s">
        <v>581</v>
      </c>
    </row>
    <row r="29" spans="1:6" ht="57.95">
      <c r="A29" s="12" t="s">
        <v>582</v>
      </c>
      <c r="B29" s="16" t="s">
        <v>568</v>
      </c>
      <c r="E29" s="14" t="s">
        <v>583</v>
      </c>
      <c r="F29" s="8" t="s">
        <v>584</v>
      </c>
    </row>
    <row r="30" spans="1:6" ht="57.95">
      <c r="A30" s="12" t="s">
        <v>585</v>
      </c>
      <c r="B30" s="16" t="s">
        <v>568</v>
      </c>
      <c r="E30" s="14" t="s">
        <v>586</v>
      </c>
      <c r="F30" s="8" t="s">
        <v>587</v>
      </c>
    </row>
    <row r="31" spans="1:6" ht="57.95">
      <c r="A31" s="12" t="s">
        <v>588</v>
      </c>
      <c r="B31" s="16" t="s">
        <v>568</v>
      </c>
      <c r="C31" s="19" t="s">
        <v>589</v>
      </c>
      <c r="E31" s="14" t="s">
        <v>590</v>
      </c>
      <c r="F31" s="8" t="s">
        <v>591</v>
      </c>
    </row>
    <row r="32" spans="1:6" ht="43.5">
      <c r="A32" s="12" t="s">
        <v>592</v>
      </c>
      <c r="B32" s="20" t="s">
        <v>593</v>
      </c>
      <c r="C32" s="19"/>
      <c r="E32" s="14" t="s">
        <v>594</v>
      </c>
      <c r="F32" s="8" t="s">
        <v>595</v>
      </c>
    </row>
    <row r="33" spans="1:6">
      <c r="A33" s="12" t="s">
        <v>596</v>
      </c>
      <c r="B33" s="16" t="s">
        <v>597</v>
      </c>
      <c r="E33" s="14" t="s">
        <v>598</v>
      </c>
      <c r="F33" s="8" t="s">
        <v>599</v>
      </c>
    </row>
    <row r="34" spans="1:6" ht="29.1">
      <c r="A34" s="12" t="s">
        <v>600</v>
      </c>
      <c r="B34" s="20" t="s">
        <v>601</v>
      </c>
      <c r="E34" s="14" t="s">
        <v>602</v>
      </c>
      <c r="F34" s="8" t="s">
        <v>603</v>
      </c>
    </row>
    <row r="35" spans="1:6">
      <c r="A35" s="12" t="s">
        <v>604</v>
      </c>
      <c r="B35" s="21" t="s">
        <v>605</v>
      </c>
      <c r="E35" s="14" t="s">
        <v>606</v>
      </c>
      <c r="F35" s="8" t="s">
        <v>607</v>
      </c>
    </row>
    <row r="36" spans="1:6">
      <c r="A36" s="12" t="s">
        <v>608</v>
      </c>
      <c r="B36" s="16" t="s">
        <v>609</v>
      </c>
      <c r="C36" s="16" t="s">
        <v>610</v>
      </c>
      <c r="E36" s="14" t="s">
        <v>611</v>
      </c>
      <c r="F36" s="8" t="s">
        <v>612</v>
      </c>
    </row>
    <row r="37" spans="1:6">
      <c r="A37" s="12" t="s">
        <v>477</v>
      </c>
      <c r="B37" s="16" t="s">
        <v>609</v>
      </c>
      <c r="C37" s="16" t="s">
        <v>613</v>
      </c>
      <c r="E37" s="14" t="s">
        <v>614</v>
      </c>
      <c r="F37" s="8" t="s">
        <v>615</v>
      </c>
    </row>
    <row r="38" spans="1:6">
      <c r="A38" s="12" t="s">
        <v>616</v>
      </c>
      <c r="B38" s="16" t="s">
        <v>609</v>
      </c>
      <c r="C38" s="16" t="s">
        <v>617</v>
      </c>
      <c r="E38" s="14" t="s">
        <v>618</v>
      </c>
      <c r="F38" s="8" t="s">
        <v>619</v>
      </c>
    </row>
    <row r="39" spans="1:6">
      <c r="A39" s="12" t="s">
        <v>620</v>
      </c>
      <c r="B39" s="16" t="s">
        <v>609</v>
      </c>
      <c r="E39" s="14" t="s">
        <v>621</v>
      </c>
      <c r="F39" s="8" t="s">
        <v>622</v>
      </c>
    </row>
    <row r="40" spans="1:6" ht="29.1">
      <c r="A40" s="12" t="s">
        <v>623</v>
      </c>
      <c r="B40" s="20" t="s">
        <v>624</v>
      </c>
      <c r="E40" s="14" t="s">
        <v>625</v>
      </c>
      <c r="F40" s="8" t="s">
        <v>626</v>
      </c>
    </row>
    <row r="41" spans="1:6" ht="57.95">
      <c r="A41" s="12" t="s">
        <v>627</v>
      </c>
      <c r="B41" s="20" t="s">
        <v>628</v>
      </c>
      <c r="E41" s="14" t="s">
        <v>629</v>
      </c>
      <c r="F41" s="8" t="s">
        <v>630</v>
      </c>
    </row>
    <row r="42" spans="1:6" ht="43.5">
      <c r="A42" s="12" t="s">
        <v>631</v>
      </c>
      <c r="B42" s="20" t="s">
        <v>632</v>
      </c>
      <c r="C42" s="16" t="s">
        <v>633</v>
      </c>
      <c r="E42" s="14" t="s">
        <v>634</v>
      </c>
      <c r="F42" s="8" t="s">
        <v>635</v>
      </c>
    </row>
    <row r="43" spans="1:6" ht="43.5">
      <c r="A43" s="12" t="s">
        <v>636</v>
      </c>
      <c r="B43" s="23" t="s">
        <v>637</v>
      </c>
      <c r="C43" s="16" t="s">
        <v>638</v>
      </c>
      <c r="E43" s="14" t="s">
        <v>639</v>
      </c>
      <c r="F43" s="8" t="s">
        <v>640</v>
      </c>
    </row>
    <row r="44" spans="1:6" ht="29.1">
      <c r="A44" s="12" t="s">
        <v>641</v>
      </c>
      <c r="B44" s="23" t="s">
        <v>642</v>
      </c>
      <c r="C44" s="16" t="s">
        <v>643</v>
      </c>
      <c r="E44" s="14" t="s">
        <v>644</v>
      </c>
      <c r="F44" s="8" t="s">
        <v>645</v>
      </c>
    </row>
    <row r="45" spans="1:6" ht="101.45">
      <c r="A45" s="12" t="s">
        <v>646</v>
      </c>
      <c r="B45" s="21" t="s">
        <v>647</v>
      </c>
      <c r="C45" s="16" t="s">
        <v>648</v>
      </c>
      <c r="E45" s="14" t="s">
        <v>649</v>
      </c>
      <c r="F45" s="8" t="s">
        <v>650</v>
      </c>
    </row>
    <row r="46" spans="1:6" ht="29.1">
      <c r="A46" s="12" t="s">
        <v>651</v>
      </c>
      <c r="B46" s="21" t="s">
        <v>647</v>
      </c>
      <c r="E46" s="14" t="s">
        <v>652</v>
      </c>
      <c r="F46" s="8" t="s">
        <v>653</v>
      </c>
    </row>
    <row r="47" spans="1:6">
      <c r="A47" s="12" t="s">
        <v>654</v>
      </c>
      <c r="B47" s="23" t="s">
        <v>655</v>
      </c>
      <c r="E47" s="14" t="s">
        <v>656</v>
      </c>
      <c r="F47" s="15" t="s">
        <v>657</v>
      </c>
    </row>
    <row r="48" spans="1:6">
      <c r="A48" s="12" t="s">
        <v>658</v>
      </c>
      <c r="B48" s="23" t="s">
        <v>655</v>
      </c>
      <c r="E48" s="14" t="s">
        <v>659</v>
      </c>
      <c r="F48" s="15" t="s">
        <v>660</v>
      </c>
    </row>
    <row r="49" spans="1:6">
      <c r="A49" s="12" t="s">
        <v>661</v>
      </c>
      <c r="B49" s="21" t="s">
        <v>662</v>
      </c>
      <c r="E49" s="14" t="s">
        <v>663</v>
      </c>
      <c r="F49" s="8" t="s">
        <v>664</v>
      </c>
    </row>
    <row r="50" spans="1:6">
      <c r="A50" s="12" t="s">
        <v>665</v>
      </c>
      <c r="B50" s="21" t="s">
        <v>662</v>
      </c>
      <c r="E50" s="14" t="s">
        <v>666</v>
      </c>
      <c r="F50" s="8" t="s">
        <v>667</v>
      </c>
    </row>
    <row r="51" spans="1:6" ht="43.5">
      <c r="A51" s="12" t="s">
        <v>668</v>
      </c>
      <c r="B51" s="23" t="s">
        <v>669</v>
      </c>
      <c r="E51" s="14" t="s">
        <v>670</v>
      </c>
      <c r="F51" s="8" t="s">
        <v>671</v>
      </c>
    </row>
    <row r="52" spans="1:6" ht="43.5">
      <c r="A52" s="12" t="s">
        <v>672</v>
      </c>
      <c r="B52" s="23" t="s">
        <v>669</v>
      </c>
      <c r="E52" s="14" t="s">
        <v>673</v>
      </c>
      <c r="F52" s="8" t="s">
        <v>674</v>
      </c>
    </row>
    <row r="53" spans="1:6">
      <c r="A53" s="12" t="s">
        <v>675</v>
      </c>
      <c r="B53" s="22" t="s">
        <v>676</v>
      </c>
      <c r="E53" s="14" t="s">
        <v>677</v>
      </c>
      <c r="F53" s="8" t="s">
        <v>678</v>
      </c>
    </row>
    <row r="54" spans="1:6" ht="130.5">
      <c r="A54" s="12" t="s">
        <v>679</v>
      </c>
      <c r="B54" s="23" t="s">
        <v>680</v>
      </c>
      <c r="C54" s="16" t="s">
        <v>681</v>
      </c>
      <c r="E54" s="14" t="s">
        <v>682</v>
      </c>
      <c r="F54" s="8" t="s">
        <v>683</v>
      </c>
    </row>
    <row r="55" spans="1:6" ht="29.1">
      <c r="A55" s="12" t="s">
        <v>684</v>
      </c>
      <c r="B55" s="23" t="s">
        <v>680</v>
      </c>
      <c r="C55" s="16" t="s">
        <v>685</v>
      </c>
      <c r="E55" s="14" t="s">
        <v>686</v>
      </c>
      <c r="F55" s="8" t="s">
        <v>687</v>
      </c>
    </row>
    <row r="56" spans="1:6">
      <c r="A56" s="12" t="s">
        <v>688</v>
      </c>
      <c r="B56" s="23" t="s">
        <v>680</v>
      </c>
      <c r="E56" s="14" t="s">
        <v>689</v>
      </c>
      <c r="F56" s="8" t="s">
        <v>690</v>
      </c>
    </row>
    <row r="57" spans="1:6" ht="43.5">
      <c r="A57" s="12" t="s">
        <v>691</v>
      </c>
      <c r="B57" s="23" t="s">
        <v>669</v>
      </c>
      <c r="E57" s="14" t="s">
        <v>692</v>
      </c>
      <c r="F57" s="8" t="s">
        <v>693</v>
      </c>
    </row>
    <row r="58" spans="1:6" ht="43.5">
      <c r="A58" s="12" t="s">
        <v>694</v>
      </c>
      <c r="B58" s="23" t="s">
        <v>669</v>
      </c>
      <c r="E58" s="14" t="s">
        <v>695</v>
      </c>
      <c r="F58" s="8" t="s">
        <v>696</v>
      </c>
    </row>
    <row r="59" spans="1:6" ht="29.1">
      <c r="A59" s="12" t="s">
        <v>697</v>
      </c>
      <c r="B59" s="21" t="s">
        <v>647</v>
      </c>
      <c r="E59" s="14" t="s">
        <v>698</v>
      </c>
      <c r="F59" s="8" t="s">
        <v>699</v>
      </c>
    </row>
    <row r="60" spans="1:6" ht="43.5">
      <c r="A60" s="12" t="s">
        <v>700</v>
      </c>
      <c r="B60" s="23" t="s">
        <v>701</v>
      </c>
      <c r="E60" s="14" t="s">
        <v>702</v>
      </c>
      <c r="F60" s="8" t="s">
        <v>703</v>
      </c>
    </row>
    <row r="61" spans="1:6" ht="43.5">
      <c r="A61" s="12" t="s">
        <v>704</v>
      </c>
      <c r="B61" s="23" t="s">
        <v>701</v>
      </c>
      <c r="E61" s="14" t="s">
        <v>705</v>
      </c>
      <c r="F61" s="8" t="s">
        <v>706</v>
      </c>
    </row>
    <row r="62" spans="1:6" ht="43.5">
      <c r="A62" s="12" t="s">
        <v>707</v>
      </c>
      <c r="B62" s="23" t="s">
        <v>701</v>
      </c>
      <c r="E62" s="14" t="s">
        <v>708</v>
      </c>
      <c r="F62" s="8" t="s">
        <v>709</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H24"/>
  <sheetViews>
    <sheetView workbookViewId="0">
      <selection activeCell="H23" sqref="H23"/>
    </sheetView>
  </sheetViews>
  <sheetFormatPr defaultRowHeight="14.45"/>
  <cols>
    <col min="2" max="2" width="32.28515625" customWidth="1"/>
    <col min="4" max="4" width="18.140625" bestFit="1" customWidth="1"/>
    <col min="6" max="6" width="31" bestFit="1" customWidth="1"/>
    <col min="8" max="8" width="85.42578125" customWidth="1"/>
  </cols>
  <sheetData>
    <row r="1" spans="1:8">
      <c r="A1" t="s">
        <v>710</v>
      </c>
      <c r="B1" t="s">
        <v>0</v>
      </c>
      <c r="C1" t="s">
        <v>711</v>
      </c>
      <c r="D1" t="s">
        <v>712</v>
      </c>
      <c r="E1" t="s">
        <v>713</v>
      </c>
      <c r="F1" t="s">
        <v>714</v>
      </c>
      <c r="G1" s="36" t="s">
        <v>461</v>
      </c>
      <c r="H1" t="s">
        <v>715</v>
      </c>
    </row>
    <row r="2" spans="1:8">
      <c r="B2" t="s">
        <v>716</v>
      </c>
      <c r="C2" t="s">
        <v>717</v>
      </c>
      <c r="D2" t="s">
        <v>718</v>
      </c>
      <c r="E2" t="s">
        <v>719</v>
      </c>
      <c r="G2" t="s">
        <v>720</v>
      </c>
      <c r="H2" t="str">
        <f>_xlfn.XLOOKUP(B2,Table2[Channel],Table2[Interactsion Concatnated],"",0,1)</f>
        <v>Viewed;Clicked;Submit Form</v>
      </c>
    </row>
    <row r="3" spans="1:8">
      <c r="B3" t="s">
        <v>721</v>
      </c>
      <c r="C3" t="s">
        <v>717</v>
      </c>
      <c r="D3" t="s">
        <v>722</v>
      </c>
      <c r="E3" t="s">
        <v>723</v>
      </c>
      <c r="G3" t="s">
        <v>720</v>
      </c>
      <c r="H3" t="str">
        <f>_xlfn.XLOOKUP(B3,Table2[Channel],Table2[Interactsion Concatnated],"",0,1)</f>
        <v>Viewed;Clicked;Submit Form</v>
      </c>
    </row>
    <row r="4" spans="1:8">
      <c r="B4" t="s">
        <v>724</v>
      </c>
      <c r="C4" t="s">
        <v>717</v>
      </c>
      <c r="D4" t="s">
        <v>725</v>
      </c>
      <c r="E4" t="s">
        <v>719</v>
      </c>
      <c r="G4" t="s">
        <v>720</v>
      </c>
      <c r="H4" t="str">
        <f>_xlfn.XLOOKUP(B4,Table2[Channel],Table2[Interactsion Concatnated],"",0,1)</f>
        <v>Page View;Link Click;Submit Form;Watch Video;Download;Live Chat?</v>
      </c>
    </row>
    <row r="5" spans="1:8">
      <c r="B5" t="s">
        <v>726</v>
      </c>
      <c r="C5" t="s">
        <v>717</v>
      </c>
      <c r="D5" t="s">
        <v>722</v>
      </c>
      <c r="E5" t="s">
        <v>727</v>
      </c>
      <c r="F5" t="s">
        <v>728</v>
      </c>
      <c r="G5" t="s">
        <v>720</v>
      </c>
      <c r="H5" t="str">
        <f>_xlfn.XLOOKUP(B5,Table2[Channel],Table2[Interactsion Concatnated],"",0,1)</f>
        <v>Viewed</v>
      </c>
    </row>
    <row r="6" spans="1:8">
      <c r="B6" t="s">
        <v>729</v>
      </c>
      <c r="C6" t="s">
        <v>717</v>
      </c>
      <c r="D6" t="s">
        <v>722</v>
      </c>
      <c r="E6" t="s">
        <v>719</v>
      </c>
      <c r="G6" t="s">
        <v>720</v>
      </c>
      <c r="H6" t="str">
        <f>_xlfn.XLOOKUP(B6,Table2[Channel],Table2[Interactsion Concatnated],"",0,1)</f>
        <v>Viewed;Clicked;Responded</v>
      </c>
    </row>
    <row r="7" spans="1:8">
      <c r="B7" t="s">
        <v>730</v>
      </c>
      <c r="C7" t="s">
        <v>731</v>
      </c>
      <c r="D7" t="s">
        <v>732</v>
      </c>
      <c r="E7" t="s">
        <v>719</v>
      </c>
      <c r="G7" t="s">
        <v>733</v>
      </c>
      <c r="H7" t="str">
        <f>_xlfn.XLOOKUP(B7,Table2[Channel],Table2[Interactsion Concatnated],"",0,1)</f>
        <v>Viewed;Clicked;Responded;Opt-Out</v>
      </c>
    </row>
    <row r="8" spans="1:8">
      <c r="B8" t="s">
        <v>734</v>
      </c>
      <c r="C8" t="s">
        <v>731</v>
      </c>
      <c r="D8" t="s">
        <v>735</v>
      </c>
      <c r="E8" t="s">
        <v>736</v>
      </c>
      <c r="G8" t="s">
        <v>733</v>
      </c>
      <c r="H8" t="str">
        <f>_xlfn.XLOOKUP(B8,Table2[Channel],Table2[Interactsion Concatnated],"",0,1)</f>
        <v>Registered;Attended;View on Demand</v>
      </c>
    </row>
    <row r="9" spans="1:8">
      <c r="B9" t="s">
        <v>737</v>
      </c>
      <c r="C9" t="s">
        <v>731</v>
      </c>
      <c r="D9" t="s">
        <v>735</v>
      </c>
      <c r="E9" t="s">
        <v>736</v>
      </c>
      <c r="G9" t="s">
        <v>733</v>
      </c>
      <c r="H9" t="str">
        <f>_xlfn.XLOOKUP(B9,Table2[Channel],Table2[Interactsion Concatnated],"",0,1)</f>
        <v>Registered;Attended</v>
      </c>
    </row>
    <row r="10" spans="1:8">
      <c r="B10" t="s">
        <v>738</v>
      </c>
      <c r="C10" t="s">
        <v>731</v>
      </c>
      <c r="D10" t="s">
        <v>735</v>
      </c>
      <c r="E10" t="s">
        <v>736</v>
      </c>
      <c r="H10" t="str">
        <f>_xlfn.XLOOKUP(B10,Table2[Channel],Table2[Interactsion Concatnated],"",0,1)</f>
        <v>Registered;Attended;View on Demand</v>
      </c>
    </row>
    <row r="11" spans="1:8">
      <c r="B11" t="s">
        <v>739</v>
      </c>
      <c r="C11" t="s">
        <v>731</v>
      </c>
      <c r="D11" t="s">
        <v>732</v>
      </c>
      <c r="E11" t="s">
        <v>727</v>
      </c>
      <c r="H11" t="str">
        <f>_xlfn.XLOOKUP(B11,Table2[Channel],Table2[Interactsion Concatnated],"",0,1)</f>
        <v>Sent;Delivered;Bounced</v>
      </c>
    </row>
    <row r="12" spans="1:8">
      <c r="B12" t="s">
        <v>740</v>
      </c>
      <c r="C12" t="s">
        <v>731</v>
      </c>
      <c r="D12" t="s">
        <v>732</v>
      </c>
      <c r="E12" t="s">
        <v>719</v>
      </c>
      <c r="H12" t="str">
        <f>_xlfn.XLOOKUP(B12,Table2[Channel],Table2[Interactsion Concatnated],"",0,1)</f>
        <v>Sent;Received;Read;Clicked;Responded;Opt-Out</v>
      </c>
    </row>
    <row r="13" spans="1:8">
      <c r="B13" t="s">
        <v>741</v>
      </c>
      <c r="C13" t="s">
        <v>731</v>
      </c>
      <c r="D13" t="s">
        <v>732</v>
      </c>
      <c r="E13" t="s">
        <v>719</v>
      </c>
      <c r="H13" t="str">
        <f>_xlfn.XLOOKUP(B13,Table2[Channel],Table2[Interactsion Concatnated],"",0,1)</f>
        <v>Sent;Received;Read;Clicked;Responded;Opt-Out</v>
      </c>
    </row>
    <row r="14" spans="1:8">
      <c r="B14" t="s">
        <v>742</v>
      </c>
      <c r="C14" t="s">
        <v>731</v>
      </c>
      <c r="D14" t="s">
        <v>732</v>
      </c>
      <c r="E14" t="s">
        <v>719</v>
      </c>
      <c r="H14" t="str">
        <f>_xlfn.XLOOKUP(B14,Table2[Channel],Table2[Interactsion Concatnated],"",0,1)</f>
        <v>Sent;Received;Bounced;Opened;Clicked;Opt-Out;Responded</v>
      </c>
    </row>
    <row r="15" spans="1:8">
      <c r="B15" t="s">
        <v>743</v>
      </c>
      <c r="C15" t="s">
        <v>731</v>
      </c>
      <c r="D15" t="s">
        <v>732</v>
      </c>
      <c r="E15" t="s">
        <v>719</v>
      </c>
      <c r="H15" t="str">
        <f>_xlfn.XLOOKUP(B15,Table2[Channel],Table2[Interactsion Concatnated],"",0,1)</f>
        <v>Sent;Received;Bounced;Clicked;Responsed;Opt-Out</v>
      </c>
    </row>
    <row r="16" spans="1:8">
      <c r="B16" t="s">
        <v>744</v>
      </c>
      <c r="C16" t="s">
        <v>731</v>
      </c>
      <c r="D16" t="s">
        <v>732</v>
      </c>
      <c r="E16" t="s">
        <v>719</v>
      </c>
      <c r="H16" t="str">
        <f>_xlfn.XLOOKUP(B16,Table2[Channel],Table2[Interactsion Concatnated],"",0,1)</f>
        <v>Sent;Received;Bounced;Clicked;Responsed;Opt-Out</v>
      </c>
    </row>
    <row r="17" spans="2:8">
      <c r="B17" t="s">
        <v>745</v>
      </c>
      <c r="C17" t="s">
        <v>731</v>
      </c>
      <c r="D17" t="s">
        <v>732</v>
      </c>
      <c r="E17" t="s">
        <v>719</v>
      </c>
      <c r="H17" t="str">
        <f>_xlfn.XLOOKUP(B17,Table2[Channel],Table2[Interactsion Concatnated],"",0,1)</f>
        <v>Sent;Received;Clicked</v>
      </c>
    </row>
    <row r="18" spans="2:8" ht="15">
      <c r="B18" t="s">
        <v>746</v>
      </c>
      <c r="C18" t="s">
        <v>731</v>
      </c>
      <c r="D18" t="s">
        <v>732</v>
      </c>
      <c r="E18" t="s">
        <v>747</v>
      </c>
      <c r="H18" t="str">
        <f>_xlfn.XLOOKUP(B18,Table2[Channel],Table2[Interactsion Concatnated],"",0,1)</f>
        <v>Attempted;Answered;Conversed</v>
      </c>
    </row>
    <row r="19" spans="2:8" ht="15">
      <c r="B19" t="s">
        <v>748</v>
      </c>
      <c r="C19" t="s">
        <v>731</v>
      </c>
      <c r="D19" t="s">
        <v>749</v>
      </c>
      <c r="E19" t="s">
        <v>747</v>
      </c>
      <c r="H19" t="str">
        <f>_xlfn.XLOOKUP(B19,Table2[Channel],Table2[Interactsion Concatnated],"",0,1)</f>
        <v>Initiated;Answered;Disconnected</v>
      </c>
    </row>
    <row r="20" spans="2:8">
      <c r="B20" t="s">
        <v>750</v>
      </c>
      <c r="C20" t="s">
        <v>751</v>
      </c>
      <c r="D20" t="s">
        <v>732</v>
      </c>
      <c r="E20" t="s">
        <v>747</v>
      </c>
      <c r="H20" t="str">
        <f>_xlfn.XLOOKUP(B20,Table2[Channel],Table2[Interactsion Concatnated],"",0,1)</f>
        <v>Invited;Attended</v>
      </c>
    </row>
    <row r="21" spans="2:8">
      <c r="B21" t="s">
        <v>752</v>
      </c>
      <c r="C21" t="s">
        <v>751</v>
      </c>
      <c r="D21" t="s">
        <v>732</v>
      </c>
      <c r="E21" t="s">
        <v>747</v>
      </c>
      <c r="H21" t="str">
        <f>_xlfn.XLOOKUP(B21,Table2[Channel],Table2[Interactsion Concatnated],"",0,1)</f>
        <v>Dialled;Answered;Engaged</v>
      </c>
    </row>
    <row r="22" spans="2:8">
      <c r="B22" t="s">
        <v>753</v>
      </c>
      <c r="C22" t="s">
        <v>751</v>
      </c>
      <c r="D22" t="s">
        <v>732</v>
      </c>
      <c r="E22" t="s">
        <v>719</v>
      </c>
      <c r="H22" t="str">
        <f>_xlfn.XLOOKUP(B22,Table2[Channel],Table2[Interactsion Concatnated],"",0,1)</f>
        <v>Sent;Received;Bounced;Opened;Clicked;Opt-Out;Responded</v>
      </c>
    </row>
    <row r="23" spans="2:8">
      <c r="B23" s="47" t="s">
        <v>754</v>
      </c>
      <c r="C23" t="s">
        <v>731</v>
      </c>
      <c r="D23" t="s">
        <v>732</v>
      </c>
      <c r="E23" t="s">
        <v>747</v>
      </c>
      <c r="G23" t="s">
        <v>720</v>
      </c>
      <c r="H23" t="str">
        <f>_xlfn.XLOOKUP(B23,Table2[Channel],Table2[Interactsion Concatnated],"",0,1)</f>
        <v>Called</v>
      </c>
    </row>
    <row r="24" spans="2:8">
      <c r="H24" s="16"/>
    </row>
  </sheetData>
  <autoFilter ref="A1:F22" xr:uid="{6B8D126A-E50F-4373-9159-5B9100CAC9A2}">
    <sortState xmlns:xlrd2="http://schemas.microsoft.com/office/spreadsheetml/2017/richdata2" ref="A2:F22">
      <sortCondition ref="C1:C2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J23"/>
  <sheetViews>
    <sheetView workbookViewId="0">
      <selection activeCell="A21" sqref="A21"/>
    </sheetView>
  </sheetViews>
  <sheetFormatPr defaultRowHeight="14.45"/>
  <cols>
    <col min="1" max="1" width="24.85546875" bestFit="1" customWidth="1"/>
    <col min="2" max="2" width="61.85546875" bestFit="1" customWidth="1"/>
    <col min="3" max="3" width="14.140625" bestFit="1" customWidth="1"/>
    <col min="4" max="4" width="11.5703125" bestFit="1" customWidth="1"/>
    <col min="5" max="5" width="15.5703125" bestFit="1" customWidth="1"/>
    <col min="6" max="6" width="11.85546875" bestFit="1" customWidth="1"/>
    <col min="7" max="9" width="11.5703125" bestFit="1" customWidth="1"/>
    <col min="10" max="10" width="24.85546875" bestFit="1" customWidth="1"/>
  </cols>
  <sheetData>
    <row r="1" spans="1:10" ht="15">
      <c r="A1" s="40" t="s">
        <v>755</v>
      </c>
      <c r="B1" s="46" t="s">
        <v>756</v>
      </c>
      <c r="C1" s="37" t="s">
        <v>47</v>
      </c>
      <c r="D1" s="37" t="s">
        <v>757</v>
      </c>
      <c r="E1" s="37" t="s">
        <v>758</v>
      </c>
      <c r="F1" s="37" t="s">
        <v>759</v>
      </c>
      <c r="G1" s="37" t="s">
        <v>760</v>
      </c>
      <c r="H1" s="37" t="s">
        <v>761</v>
      </c>
      <c r="I1" s="38" t="s">
        <v>762</v>
      </c>
      <c r="J1" t="s">
        <v>763</v>
      </c>
    </row>
    <row r="2" spans="1:10" ht="15">
      <c r="A2" s="44" t="s">
        <v>716</v>
      </c>
      <c r="B2" s="41" t="str">
        <f>_xlfn.TEXTJOIN(";",TRUE,C2:I2)</f>
        <v>Viewed;Clicked;Submit Form</v>
      </c>
      <c r="C2" t="s">
        <v>764</v>
      </c>
      <c r="D2" t="s">
        <v>765</v>
      </c>
      <c r="E2" t="s">
        <v>766</v>
      </c>
      <c r="I2" s="25"/>
      <c r="J2" t="str">
        <f>_xlfn.XLOOKUP(A2,Channels!B:B,Channels!B:B,"MISSING",0,1)</f>
        <v>Paid Digital Ads</v>
      </c>
    </row>
    <row r="3" spans="1:10" ht="15">
      <c r="A3" s="44" t="s">
        <v>721</v>
      </c>
      <c r="B3" s="42" t="str">
        <f t="shared" ref="B3:B21" si="0">_xlfn.TEXTJOIN(";",TRUE,C3:I3)</f>
        <v>Viewed;Clicked;Submit Form</v>
      </c>
      <c r="C3" t="s">
        <v>764</v>
      </c>
      <c r="D3" t="s">
        <v>765</v>
      </c>
      <c r="E3" t="s">
        <v>766</v>
      </c>
      <c r="I3" s="25"/>
      <c r="J3" t="str">
        <f>_xlfn.XLOOKUP(A3,Channels!B:B,Channels!B:B,"MISSING",0,1)</f>
        <v>Content Syndication</v>
      </c>
    </row>
    <row r="4" spans="1:10" ht="15">
      <c r="A4" s="44" t="s">
        <v>724</v>
      </c>
      <c r="B4" s="42" t="str">
        <f t="shared" si="0"/>
        <v>Page View;Link Click;Submit Form;Watch Video;Download;Live Chat?</v>
      </c>
      <c r="C4" t="s">
        <v>767</v>
      </c>
      <c r="D4" t="s">
        <v>768</v>
      </c>
      <c r="E4" t="s">
        <v>766</v>
      </c>
      <c r="F4" t="s">
        <v>769</v>
      </c>
      <c r="G4" t="s">
        <v>770</v>
      </c>
      <c r="H4" t="s">
        <v>771</v>
      </c>
      <c r="I4" s="25"/>
      <c r="J4" t="str">
        <f>_xlfn.XLOOKUP(A4,Channels!B:B,Channels!B:B,"MISSING",0,1)</f>
        <v>Web</v>
      </c>
    </row>
    <row r="5" spans="1:10" ht="15">
      <c r="A5" s="44" t="s">
        <v>726</v>
      </c>
      <c r="B5" s="42" t="str">
        <f t="shared" si="0"/>
        <v>Viewed</v>
      </c>
      <c r="C5" t="s">
        <v>764</v>
      </c>
      <c r="I5" s="25"/>
      <c r="J5" t="str">
        <f>_xlfn.XLOOKUP(A5,Channels!B:B,Channels!B:B,"MISSING",0,1)</f>
        <v>Above the Line - Non Digital</v>
      </c>
    </row>
    <row r="6" spans="1:10" ht="15">
      <c r="A6" s="44" t="s">
        <v>729</v>
      </c>
      <c r="B6" s="42" t="str">
        <f t="shared" si="0"/>
        <v>Viewed;Clicked;Responded</v>
      </c>
      <c r="C6" t="s">
        <v>764</v>
      </c>
      <c r="D6" t="s">
        <v>765</v>
      </c>
      <c r="E6" t="s">
        <v>772</v>
      </c>
      <c r="I6" s="25"/>
      <c r="J6" t="str">
        <f>_xlfn.XLOOKUP(A6,Channels!B:B,Channels!B:B,"MISSING",0,1)</f>
        <v>Social Posts</v>
      </c>
    </row>
    <row r="7" spans="1:10" ht="15">
      <c r="A7" s="44" t="s">
        <v>730</v>
      </c>
      <c r="B7" s="42" t="str">
        <f t="shared" si="0"/>
        <v>Viewed;Clicked;Responded;Opt-Out</v>
      </c>
      <c r="C7" t="s">
        <v>764</v>
      </c>
      <c r="D7" t="s">
        <v>765</v>
      </c>
      <c r="E7" t="s">
        <v>772</v>
      </c>
      <c r="F7" t="s">
        <v>773</v>
      </c>
      <c r="I7" s="25"/>
      <c r="J7" t="str">
        <f>_xlfn.XLOOKUP(A7,Channels!B:B,Channels!B:B,"MISSING",0,1)</f>
        <v>Social Outbound Messages</v>
      </c>
    </row>
    <row r="8" spans="1:10" ht="15">
      <c r="A8" s="44" t="s">
        <v>734</v>
      </c>
      <c r="B8" s="42" t="str">
        <f t="shared" si="0"/>
        <v>Registered;Attended;View on Demand</v>
      </c>
      <c r="C8" t="s">
        <v>774</v>
      </c>
      <c r="D8" t="s">
        <v>775</v>
      </c>
      <c r="E8" t="s">
        <v>776</v>
      </c>
      <c r="I8" s="25"/>
      <c r="J8" t="str">
        <f>_xlfn.XLOOKUP(A8,Channels!B:B,Channels!B:B,"MISSING",0,1)</f>
        <v>Virtual Events</v>
      </c>
    </row>
    <row r="9" spans="1:10" ht="15">
      <c r="A9" s="44" t="s">
        <v>737</v>
      </c>
      <c r="B9" s="42" t="str">
        <f t="shared" si="0"/>
        <v>Registered;Attended</v>
      </c>
      <c r="C9" t="s">
        <v>774</v>
      </c>
      <c r="D9" t="s">
        <v>775</v>
      </c>
      <c r="I9" s="25"/>
      <c r="J9" t="str">
        <f>_xlfn.XLOOKUP(A9,Channels!B:B,Channels!B:B,"MISSING",0,1)</f>
        <v>F2F Events</v>
      </c>
    </row>
    <row r="10" spans="1:10" ht="15">
      <c r="A10" s="44" t="s">
        <v>738</v>
      </c>
      <c r="B10" s="42" t="str">
        <f t="shared" si="0"/>
        <v>Registered;Attended;View on Demand</v>
      </c>
      <c r="C10" t="s">
        <v>774</v>
      </c>
      <c r="D10" t="s">
        <v>775</v>
      </c>
      <c r="E10" t="s">
        <v>776</v>
      </c>
      <c r="I10" s="25"/>
      <c r="J10" t="str">
        <f>_xlfn.XLOOKUP(A10,Channels!B:B,Channels!B:B,"MISSING",0,1)</f>
        <v>Webinars</v>
      </c>
    </row>
    <row r="11" spans="1:10" ht="15">
      <c r="A11" s="44" t="s">
        <v>739</v>
      </c>
      <c r="B11" s="42" t="str">
        <f t="shared" si="0"/>
        <v>Sent;Delivered;Bounced</v>
      </c>
      <c r="C11" t="s">
        <v>777</v>
      </c>
      <c r="D11" t="s">
        <v>778</v>
      </c>
      <c r="E11" t="s">
        <v>779</v>
      </c>
      <c r="I11" s="25"/>
      <c r="J11" t="str">
        <f>_xlfn.XLOOKUP(A11,Channels!B:B,Channels!B:B,"MISSING",0,1)</f>
        <v>Direct Mail</v>
      </c>
    </row>
    <row r="12" spans="1:10" ht="15">
      <c r="A12" s="44" t="s">
        <v>740</v>
      </c>
      <c r="B12" s="42" t="str">
        <f t="shared" si="0"/>
        <v>Sent;Received;Read;Clicked;Responded;Opt-Out</v>
      </c>
      <c r="C12" t="s">
        <v>777</v>
      </c>
      <c r="D12" t="s">
        <v>780</v>
      </c>
      <c r="E12" t="s">
        <v>781</v>
      </c>
      <c r="F12" t="s">
        <v>765</v>
      </c>
      <c r="G12" t="s">
        <v>772</v>
      </c>
      <c r="H12" t="s">
        <v>773</v>
      </c>
      <c r="I12" s="25"/>
      <c r="J12" t="str">
        <f>_xlfn.XLOOKUP(A12,Channels!B:B,Channels!B:B,"MISSING",0,1)</f>
        <v>Whatsapp</v>
      </c>
    </row>
    <row r="13" spans="1:10" ht="15">
      <c r="A13" s="44" t="s">
        <v>741</v>
      </c>
      <c r="B13" s="42" t="str">
        <f t="shared" si="0"/>
        <v>Sent;Received;Read;Clicked;Responded;Opt-Out</v>
      </c>
      <c r="C13" t="s">
        <v>777</v>
      </c>
      <c r="D13" t="s">
        <v>780</v>
      </c>
      <c r="E13" t="s">
        <v>781</v>
      </c>
      <c r="F13" t="s">
        <v>765</v>
      </c>
      <c r="G13" t="s">
        <v>772</v>
      </c>
      <c r="H13" t="s">
        <v>773</v>
      </c>
      <c r="I13" s="25"/>
      <c r="J13" t="str">
        <f>_xlfn.XLOOKUP(A13,Channels!B:B,Channels!B:B,"MISSING",0,1)</f>
        <v>RCS</v>
      </c>
    </row>
    <row r="14" spans="1:10" ht="15">
      <c r="A14" s="44" t="s">
        <v>742</v>
      </c>
      <c r="B14" s="42" t="str">
        <f t="shared" si="0"/>
        <v>Sent;Received;Bounced;Opened;Clicked;Opt-Out;Responded</v>
      </c>
      <c r="C14" t="s">
        <v>777</v>
      </c>
      <c r="D14" t="s">
        <v>780</v>
      </c>
      <c r="E14" t="s">
        <v>779</v>
      </c>
      <c r="F14" t="s">
        <v>782</v>
      </c>
      <c r="G14" t="s">
        <v>765</v>
      </c>
      <c r="H14" t="s">
        <v>773</v>
      </c>
      <c r="I14" s="25" t="s">
        <v>772</v>
      </c>
      <c r="J14" t="str">
        <f>_xlfn.XLOOKUP(A14,Channels!B:B,Channels!B:B,"MISSING",0,1)</f>
        <v>Email</v>
      </c>
    </row>
    <row r="15" spans="1:10" ht="15">
      <c r="A15" s="44" t="s">
        <v>743</v>
      </c>
      <c r="B15" s="42" t="str">
        <f t="shared" si="0"/>
        <v>Sent;Received;Bounced;Clicked;Responsed;Opt-Out</v>
      </c>
      <c r="C15" t="s">
        <v>777</v>
      </c>
      <c r="D15" t="s">
        <v>780</v>
      </c>
      <c r="E15" t="s">
        <v>779</v>
      </c>
      <c r="F15" t="s">
        <v>765</v>
      </c>
      <c r="G15" t="s">
        <v>783</v>
      </c>
      <c r="H15" t="s">
        <v>773</v>
      </c>
      <c r="I15" s="25"/>
      <c r="J15" t="str">
        <f>_xlfn.XLOOKUP(A15,Channels!B:B,Channels!B:B,"MISSING",0,1)</f>
        <v>SMS</v>
      </c>
    </row>
    <row r="16" spans="1:10" ht="15">
      <c r="A16" s="44" t="s">
        <v>744</v>
      </c>
      <c r="B16" s="42" t="str">
        <f t="shared" si="0"/>
        <v>Sent;Received;Bounced;Clicked;Responsed;Opt-Out</v>
      </c>
      <c r="C16" t="s">
        <v>777</v>
      </c>
      <c r="D16" t="s">
        <v>780</v>
      </c>
      <c r="E16" t="s">
        <v>779</v>
      </c>
      <c r="F16" t="s">
        <v>765</v>
      </c>
      <c r="G16" t="s">
        <v>783</v>
      </c>
      <c r="H16" t="s">
        <v>773</v>
      </c>
      <c r="I16" s="25"/>
      <c r="J16" t="str">
        <f>_xlfn.XLOOKUP(A16,Channels!B:B,Channels!B:B,"MISSING",0,1)</f>
        <v>MMS</v>
      </c>
    </row>
    <row r="17" spans="1:10" ht="15">
      <c r="A17" s="44" t="s">
        <v>745</v>
      </c>
      <c r="B17" s="42" t="str">
        <f t="shared" si="0"/>
        <v>Sent;Received;Clicked</v>
      </c>
      <c r="C17" t="s">
        <v>777</v>
      </c>
      <c r="D17" t="s">
        <v>780</v>
      </c>
      <c r="F17" t="s">
        <v>765</v>
      </c>
      <c r="I17" s="25"/>
      <c r="J17" t="str">
        <f>_xlfn.XLOOKUP(A17,Channels!B:B,Channels!B:B,"MISSING",0,1)</f>
        <v>App Push Notification</v>
      </c>
    </row>
    <row r="18" spans="1:10" ht="15">
      <c r="A18" s="44" t="s">
        <v>750</v>
      </c>
      <c r="B18" s="42" t="str">
        <f t="shared" si="0"/>
        <v>Invited;Attended</v>
      </c>
      <c r="C18" t="s">
        <v>784</v>
      </c>
      <c r="D18" t="s">
        <v>775</v>
      </c>
      <c r="I18" s="25"/>
      <c r="J18" t="str">
        <f>_xlfn.XLOOKUP(A18,Channels!B:B,Channels!B:B,"MISSING",0,1)</f>
        <v>Sales Meetings</v>
      </c>
    </row>
    <row r="19" spans="1:10" ht="15">
      <c r="A19" s="44" t="s">
        <v>752</v>
      </c>
      <c r="B19" s="42" t="str">
        <f t="shared" si="0"/>
        <v>Dialled;Answered;Engaged</v>
      </c>
      <c r="C19" t="s">
        <v>785</v>
      </c>
      <c r="D19" t="s">
        <v>786</v>
      </c>
      <c r="E19" t="s">
        <v>787</v>
      </c>
      <c r="I19" s="25"/>
      <c r="J19" t="str">
        <f>_xlfn.XLOOKUP(A19,Channels!B:B,Channels!B:B,"MISSING",0,1)</f>
        <v>Sales Calls</v>
      </c>
    </row>
    <row r="20" spans="1:10" ht="15">
      <c r="A20" s="44" t="s">
        <v>753</v>
      </c>
      <c r="B20" s="42" t="str">
        <f t="shared" si="0"/>
        <v>Sent;Received;Bounced;Opened;Clicked;Opt-Out;Responded</v>
      </c>
      <c r="C20" t="s">
        <v>777</v>
      </c>
      <c r="D20" t="s">
        <v>780</v>
      </c>
      <c r="E20" t="s">
        <v>779</v>
      </c>
      <c r="F20" t="s">
        <v>782</v>
      </c>
      <c r="G20" t="s">
        <v>765</v>
      </c>
      <c r="H20" t="s">
        <v>773</v>
      </c>
      <c r="I20" s="25" t="s">
        <v>772</v>
      </c>
      <c r="J20" t="str">
        <f>_xlfn.XLOOKUP(A20,Channels!B:B,Channels!B:B,"MISSING",0,1)</f>
        <v>Sales Email</v>
      </c>
    </row>
    <row r="21" spans="1:10" ht="15">
      <c r="A21" s="45" t="s">
        <v>754</v>
      </c>
      <c r="B21" s="43" t="str">
        <f t="shared" si="0"/>
        <v>Called</v>
      </c>
      <c r="C21" s="26" t="s">
        <v>788</v>
      </c>
      <c r="D21" s="26"/>
      <c r="E21" s="26"/>
      <c r="F21" s="26"/>
      <c r="G21" s="26"/>
      <c r="H21" s="26"/>
      <c r="I21" s="27"/>
      <c r="J21" t="str">
        <f>_xlfn.XLOOKUP(A21,Channels!B:B,Channels!B:B,"MISSING",0,1)</f>
        <v>Inbound Calls</v>
      </c>
    </row>
    <row r="22" spans="1:10" ht="15">
      <c r="A22" s="44" t="s">
        <v>746</v>
      </c>
      <c r="B22" s="42" t="str">
        <f t="shared" ref="B22:B23" si="1">_xlfn.TEXTJOIN(";",TRUE,C22:I22)</f>
        <v>Attempted;Answered;Conversed</v>
      </c>
      <c r="C22" t="s">
        <v>789</v>
      </c>
      <c r="D22" t="s">
        <v>786</v>
      </c>
      <c r="E22" t="s">
        <v>790</v>
      </c>
      <c r="I22" s="25"/>
      <c r="J22" t="str">
        <f>_xlfn.XLOOKUP(A22,Channels!B:B,Channels!B:B,"MISSING",0,1)</f>
        <v>Telemarketing</v>
      </c>
    </row>
    <row r="23" spans="1:10">
      <c r="A23" s="44" t="s">
        <v>748</v>
      </c>
      <c r="B23" s="42" t="str">
        <f t="shared" si="1"/>
        <v>Initiated;Answered;Disconnected</v>
      </c>
      <c r="C23" t="s">
        <v>791</v>
      </c>
      <c r="D23" t="s">
        <v>786</v>
      </c>
      <c r="E23" t="s">
        <v>792</v>
      </c>
      <c r="I23" s="25"/>
      <c r="J23" t="str">
        <f>_xlfn.XLOOKUP(A23,Channels!B:B,Channels!B:B,"MISSING",0,1)</f>
        <v>Online Chat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0" ma:contentTypeDescription="Create a new document." ma:contentTypeScope="" ma:versionID="cd5889db134979e54dcf054cdc4727ec">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fdf5543a8e45e11fa247a01810ff6e7b"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BB428E-D1CA-47E8-B784-F33B49A13D8D}"/>
</file>

<file path=customXml/itemProps2.xml><?xml version="1.0" encoding="utf-8"?>
<ds:datastoreItem xmlns:ds="http://schemas.openxmlformats.org/officeDocument/2006/customXml" ds:itemID="{981D98BA-C602-41F7-9CF6-ADC2B2B0572D}"/>
</file>

<file path=customXml/itemProps3.xml><?xml version="1.0" encoding="utf-8"?>
<ds:datastoreItem xmlns:ds="http://schemas.openxmlformats.org/officeDocument/2006/customXml" ds:itemID="{221E8208-2559-4473-AFD3-FB4000FD0D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2025-08-19T22:12:31Z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