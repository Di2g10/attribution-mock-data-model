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2. Data Design &amp; Engineering/3. Designs (Inc. Mapping Sheets)/"/>
    </mc:Choice>
  </mc:AlternateContent>
  <xr:revisionPtr revIDLastSave="0" documentId="8_{9EE2A327-3219-4924-A1CC-3B940C762241}" xr6:coauthVersionLast="47" xr6:coauthVersionMax="47" xr10:uidLastSave="{00000000-0000-0000-0000-000000000000}"/>
  <bookViews>
    <workbookView xWindow="-108" yWindow="-108" windowWidth="23256" windowHeight="12456" tabRatio="719" firstSheet="1" activeTab="1" xr2:uid="{EFC15C39-DC71-4D84-BB64-C304B1E6FB49}"/>
  </bookViews>
  <sheets>
    <sheet name="objects" sheetId="1" r:id="rId1"/>
    <sheet name="Attributes" sheetId="2" r:id="rId2"/>
    <sheet name="Sheet1" sheetId="6" state="hidden" r:id="rId3"/>
    <sheet name="Object Relationships Diagram" sheetId="7" r:id="rId4"/>
    <sheet name="Aggregations and Calculations" sheetId="3" r:id="rId5"/>
    <sheet name="Channels" sheetId="4" r:id="rId6"/>
    <sheet name="Interaction Types" sheetId="5" r:id="rId7"/>
  </sheets>
  <definedNames>
    <definedName name="_xlnm._FilterDatabase" localSheetId="1" hidden="1">Attributes!$A$1:$J$237</definedName>
    <definedName name="_xlnm._FilterDatabase" localSheetId="5" hidden="1">Channels!$A$1:$I$1</definedName>
    <definedName name="_xlnm._FilterDatabase" localSheetId="0" hidden="1">objects!$A$1:$M$1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G21" i="1"/>
  <c r="G20" i="1"/>
  <c r="G19" i="1"/>
  <c r="B12" i="5"/>
  <c r="H23" i="4"/>
  <c r="B22" i="5"/>
  <c r="B23" i="5"/>
  <c r="J22" i="5"/>
  <c r="J23" i="5"/>
  <c r="H22" i="4"/>
  <c r="H21" i="4"/>
  <c r="H20" i="4"/>
  <c r="H19" i="4"/>
  <c r="H18" i="4"/>
  <c r="H17" i="4"/>
  <c r="H16" i="4"/>
  <c r="H15" i="4"/>
  <c r="H14" i="4"/>
  <c r="H13" i="4"/>
  <c r="H12" i="4"/>
  <c r="H10" i="4"/>
  <c r="H9" i="4"/>
  <c r="H8" i="4"/>
  <c r="H7" i="4"/>
  <c r="H6" i="4"/>
  <c r="H5" i="4"/>
  <c r="H4" i="4"/>
  <c r="H3" i="4"/>
  <c r="H2" i="4"/>
  <c r="B21" i="5"/>
  <c r="B20" i="5"/>
  <c r="B19" i="5"/>
  <c r="B18" i="5"/>
  <c r="B17" i="5"/>
  <c r="B16" i="5"/>
  <c r="B15" i="5"/>
  <c r="B14" i="5"/>
  <c r="B13" i="5"/>
  <c r="B11" i="5"/>
  <c r="H11" i="4" s="1"/>
  <c r="B10" i="5"/>
  <c r="B9" i="5"/>
  <c r="B8" i="5"/>
  <c r="B7" i="5"/>
  <c r="B6" i="5"/>
  <c r="B5" i="5"/>
  <c r="B4" i="5"/>
  <c r="B3" i="5"/>
  <c r="B2" i="5"/>
  <c r="J20" i="5"/>
  <c r="J19" i="5"/>
  <c r="J18" i="5"/>
  <c r="J17" i="5"/>
  <c r="J16" i="5"/>
  <c r="J15" i="5"/>
  <c r="J14" i="5"/>
  <c r="J13" i="5"/>
  <c r="J12" i="5"/>
  <c r="J11" i="5"/>
  <c r="J10" i="5"/>
  <c r="J9" i="5"/>
  <c r="J8" i="5"/>
  <c r="J7" i="5"/>
  <c r="J6" i="5"/>
  <c r="J5" i="5"/>
  <c r="J4" i="5"/>
  <c r="J3" i="5"/>
  <c r="J2" i="5"/>
  <c r="J21" i="5"/>
  <c r="N9" i="6"/>
  <c r="N8" i="6"/>
  <c r="N7" i="6"/>
  <c r="N6" i="6"/>
  <c r="N5" i="6"/>
  <c r="N4" i="6"/>
  <c r="N3" i="6"/>
  <c r="N2" i="6"/>
  <c r="G18" i="1"/>
  <c r="G17" i="1"/>
  <c r="G16" i="1"/>
  <c r="G15" i="1"/>
  <c r="G14" i="1"/>
  <c r="G13" i="1"/>
  <c r="G12" i="1"/>
  <c r="G11" i="1"/>
  <c r="G10" i="1"/>
  <c r="G9" i="1"/>
  <c r="G8" i="1"/>
  <c r="G7" i="1"/>
  <c r="G6" i="1"/>
  <c r="G5" i="1"/>
  <c r="G4" i="1"/>
  <c r="G3" i="1"/>
  <c r="G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tc={8497C7DA-1239-4373-88D7-CCD3FD1374B1}</author>
    <author>tc={E6C090DE-4499-4707-85E3-463C002A1496}</author>
    <author>tc={1BBB7B82-CD99-47EB-BFCC-971EC85BD5F2}</author>
    <author>tc={5334DB75-EB91-4C77-B14B-4E2E257AAAA3}</author>
    <author>tc={A21A424B-EA20-47AA-86B5-696100E6F35A}</author>
    <author>tc={F0D8DAE0-146C-4F64-BDFC-08EEA662B13C}</author>
    <author>tc={54B0C543-2BBB-4A1C-BE36-C8332C8DA97B}</author>
    <author>tc={3F3B93DB-884E-4D03-90A3-44794742F778}</author>
    <author>tc={B067FDC9-DF9D-4CAA-8A5C-8BB4B5C5C9E7}</author>
  </authors>
  <commentList>
    <comment ref="B22"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3"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49"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56"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57"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117" authorId="5"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L140" authorId="6" shapeId="0" xr:uid="{E6C090DE-4499-4707-85E3-463C002A1496}">
      <text>
        <t>[Threaded comment]
Your version of Excel allows you to read this threaded comment; however, any edits to it will get removed if the file is opened in a newer version of Excel. Learn more: https://go.microsoft.com/fwlink/?linkid=870924
Comment:
    In discussion it was told values to be Provide, Resign and Churn, but example values show Provide, Mixed, Cease so not clear which set is needed
Reply:
    If the field you are looking at contains values of Mixed then we need a different field. For each Item we should know if its a provide or a cease. Perhaps we need to look at the order item action type</t>
      </text>
    </comment>
    <comment ref="L141" authorId="7" shapeId="0" xr:uid="{1BBB7B82-CD99-47EB-BFCC-971EC85BD5F2}">
      <text>
        <t>[Threaded comment]
Your version of Excel allows you to read this threaded comment; however, any edits to it will get removed if the file is opened in a newer version of Excel. Learn more: https://go.microsoft.com/fwlink/?linkid=870924
Comment:
    Sales channel values are
   Indirect Partner Sales
NI
Bus Sales New
CPS
Other
Bus Sales
Global Services
BTLB - London
Digital
EE Online
SME DESK Online
SME Field
BTBus Online
Retail
EE
Desk Other
BTLB - Other
Outbound
BTLB - SALESLAB
EE Inbound
Glasgow SME Outbound
Retention
SME DESK
BTLB - South
Voice Inbound
BTLB - North
BTLB - Central
Outbound Voice
Glasgow SoHo Outbound
Enterprise Service
BTLB - West
Enterprise Sales Enablement
Other_SC
BTLB
EE Major Public Sector
SME Mid-Market
Reply:
    It may be then we need a higher level field that categories these, I.E. BTLB's Desk,...</t>
      </text>
    </comment>
    <comment ref="L143" authorId="8" shapeId="0" xr:uid="{5334DB75-EB91-4C77-B14B-4E2E257AAAA3}">
      <text>
        <t xml:space="preserve">[Threaded comment]
Your version of Excel allows you to read this threaded comment; however, any edits to it will get removed if the file is opened in a newer version of Excel. Learn more: https://go.microsoft.com/fwlink/?linkid=870924
Comment:
    Not directly available, it can be combination of Order status and order status date, need to understand from order table SME
</t>
      </text>
    </comment>
    <comment ref="L156" authorId="9" shapeId="0" xr:uid="{A21A424B-EA20-47AA-86B5-696100E6F35A}">
      <text>
        <t xml:space="preserve">[Threaded comment]
Your version of Excel allows you to read this threaded comment; however, any edits to it will get removed if the file is opened in a newer version of Excel. Learn more: https://go.microsoft.com/fwlink/?linkid=870924
Comment:
    Not directly available, it can be combination of Order status and order status date, need to understand from order table SME
</t>
      </text>
    </comment>
    <comment ref="L161" authorId="10" shapeId="0" xr:uid="{F0D8DAE0-146C-4F64-BDFC-08EEA662B13C}">
      <text>
        <t xml:space="preserve">[Threaded comment]
Your version of Excel allows you to read this threaded comment; however, any edits to it will get removed if the file is opened in a newer version of Excel. Learn more: https://go.microsoft.com/fwlink/?linkid=870924
Comment:
    Not directly available, it can be combination of Order status and order status date, need to understand from order table SME
</t>
      </text>
    </comment>
    <comment ref="L162" authorId="11" shapeId="0" xr:uid="{54B0C543-2BBB-4A1C-BE36-C8332C8DA97B}">
      <text>
        <t>[Threaded comment]
Your version of Excel allows you to read this threaded comment; however, any edits to it will get removed if the file is opened in a newer version of Excel. Learn more: https://go.microsoft.com/fwlink/?linkid=870924
Comment:
    In core order SOV is recurring charge and one off is a separate column, we migh need to align ROI order in same format.
Reply:
    Yes Agreed we can change structure to align.</t>
      </text>
    </comment>
    <comment ref="L164" authorId="12" shapeId="0" xr:uid="{3F3B93DB-884E-4D03-90A3-44794742F778}">
      <text>
        <t>[Threaded comment]
Your version of Excel allows you to read this threaded comment; however, any edits to it will get removed if the file is opened in a newer version of Excel. Learn more: https://go.microsoft.com/fwlink/?linkid=870924
Comment:
    Could be combination of 2 fields CEASE_REASON_GROUP and CEASE_REASON_SUB_GROUP values are
Process	
Migration	Internal
Insolvency	Compulsory
Insolvency	Bad Debt
Insolvency	Downsizing
Migration	Corporate
Competitor	Three
Competitor	O2
Fraud	Fraud
Competitor	Other
Migration	EE
14dmb	14dmb
Migration	BT Business
Competitor	Vodafone
Insolvency	Voluntary
Competitor	o2
Migration	BT One Phone
Migration	
Migration	BT Consumer
Competitor	Sky
Process	Other
Reply:
    Just have 2 seperate fields</t>
      </text>
    </comment>
    <comment ref="L168" authorId="13" shapeId="0" xr:uid="{B067FDC9-DF9D-4CAA-8A5C-8BB4B5C5C9E7}">
      <text>
        <t xml:space="preserve">[Threaded comment]
Your version of Excel allows you to read this threaded comment; however, any edits to it will get removed if the file is opened in a newer version of Excel. Learn more: https://go.microsoft.com/fwlink/?linkid=870924
Comment:
    Order_item_num row is getting repeated, need to understand from core order SME the view structure.
Reply:
    Let us know what you find
</t>
      </text>
    </comment>
  </commentList>
</comments>
</file>

<file path=xl/sharedStrings.xml><?xml version="1.0" encoding="utf-8"?>
<sst xmlns="http://schemas.openxmlformats.org/spreadsheetml/2006/main" count="1948" uniqueCount="1021">
  <si>
    <t>Name</t>
  </si>
  <si>
    <t>Generation Method</t>
  </si>
  <si>
    <t>Description</t>
  </si>
  <si>
    <t>Purpose (Attribution)</t>
  </si>
  <si>
    <t>*Purpose (Analytics)</t>
  </si>
  <si>
    <t>Granularity</t>
  </si>
  <si>
    <t>Field Count</t>
  </si>
  <si>
    <t>generate?</t>
  </si>
  <si>
    <t>generation_order</t>
  </si>
  <si>
    <t>Generate_Rows</t>
  </si>
  <si>
    <t xml:space="preserve">existing consumption project </t>
  </si>
  <si>
    <t>bps_roi_rw</t>
  </si>
  <si>
    <t>extend the views/objects</t>
  </si>
  <si>
    <t>Phase</t>
  </si>
  <si>
    <t>Order</t>
  </si>
  <si>
    <t>Campaigns</t>
  </si>
  <si>
    <t>Source System</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</si>
  <si>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</si>
  <si>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</si>
  <si>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</si>
  <si>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</si>
  <si>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y</t>
  </si>
  <si>
    <t>bps_roi_ro/DSS(Archect review Qlik)</t>
  </si>
  <si>
    <t>MVP-2</t>
  </si>
  <si>
    <t>Channels</t>
  </si>
  <si>
    <t>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</si>
  <si>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</si>
  <si>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</si>
  <si>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</si>
  <si>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</si>
  <si>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Y</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</si>
  <si>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</si>
  <si>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</si>
  <si>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</si>
  <si>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</si>
  <si>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</si>
  <si>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</si>
  <si>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</si>
  <si>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</si>
  <si>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</si>
  <si>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</si>
  <si>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</si>
  <si>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</si>
  <si>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</si>
  <si>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</si>
  <si>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Marketing Activity</t>
  </si>
  <si>
    <t>Outbound, proactive, targeted distribution of marketing assets (e.g., emails, calls, direct mail).
Or
Organic, content-driven strategies that attract and engage audiences on their own terms (e.g., social posts, billboards, website content).</t>
  </si>
  <si>
    <t>This Identifies the actions that BT Carries out and is ultimately the most granular element of Marketing activity that BT can optimise.</t>
  </si>
  <si>
    <t>Again this is a baseline for the marketing activity that has been carried out by BT.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</si>
  <si>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
OR
Each Row represents a BT action to any number of people. Each action should have a Time or a timeframe where it would be consistantly showing the same asset.
Given the audience is Unknown one row here might have multiple engagements from Multiple Individuals or Companies.</t>
  </si>
  <si>
    <t>MVP-1</t>
  </si>
  <si>
    <t>Interactions</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</si>
  <si>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</si>
  <si>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</si>
  <si>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</si>
  <si>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</si>
  <si>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</si>
  <si>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</si>
  <si>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</si>
  <si>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</si>
  <si>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</si>
  <si>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</si>
  <si>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Dependant</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</si>
  <si>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</si>
  <si>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</si>
  <si>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</si>
  <si>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</si>
  <si>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</si>
  <si>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</si>
  <si>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</si>
  <si>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</si>
  <si>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</si>
  <si>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</si>
  <si>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</si>
  <si>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</si>
  <si>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</si>
  <si>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</si>
  <si>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</si>
  <si>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N</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</si>
  <si>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</si>
  <si>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</si>
  <si>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</si>
  <si>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</si>
  <si>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</si>
  <si>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</si>
  <si>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</si>
  <si>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</si>
  <si>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n</t>
  </si>
  <si>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</si>
  <si>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</si>
  <si>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</si>
  <si>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</si>
  <si>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Dropped From Scope</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</si>
  <si>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</si>
  <si>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</si>
  <si>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</si>
  <si>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</si>
  <si>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</si>
  <si>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</si>
  <si>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</si>
  <si>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</si>
  <si>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</si>
  <si>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</si>
  <si>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</si>
  <si>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</si>
  <si>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</si>
  <si>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</si>
  <si>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</si>
  <si>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</si>
  <si>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</si>
  <si>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</si>
  <si>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</si>
  <si>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</si>
  <si>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</si>
  <si>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</si>
  <si>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</si>
  <si>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</si>
  <si>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Outcome Change Set</t>
  </si>
  <si>
    <t>This is a group of orders for a customer that are grouped as related</t>
  </si>
  <si>
    <t>Not Used For Attribution</t>
  </si>
  <si>
    <t>Used for reporting grouping CVC at a customer level and giving additional context to Attribution effects.</t>
  </si>
  <si>
    <t>Campaign Company membership</t>
  </si>
  <si>
    <t>This identifies the Companies that are part of a campaign and those that are part of control cells for the campaign</t>
  </si>
  <si>
    <t>Needed for model tuning to align to control cell results analysis and inform model parameter choices</t>
  </si>
  <si>
    <t>Needed to showcase the Control Cell results within dashboarding.</t>
  </si>
  <si>
    <t>Each row represetns a companies relationship with a campaign. Be that as a member or part of the control cell.</t>
  </si>
  <si>
    <t>Object</t>
  </si>
  <si>
    <t>Purpose(modelling)</t>
  </si>
  <si>
    <t>Purpose(Analytics)</t>
  </si>
  <si>
    <t>Format</t>
  </si>
  <si>
    <t>Example Values</t>
  </si>
  <si>
    <t>Tokenised</t>
  </si>
  <si>
    <t>Tokenised Reason</t>
  </si>
  <si>
    <t>Required for POC?</t>
  </si>
  <si>
    <t>Requiered for MVP?</t>
  </si>
  <si>
    <t>Available in Core_Orders?</t>
  </si>
  <si>
    <t>Last Changed Date</t>
  </si>
  <si>
    <t>Change Description</t>
  </si>
  <si>
    <t>link_id</t>
  </si>
  <si>
    <t>Unique Identifier for this particular link</t>
  </si>
  <si>
    <t>PK</t>
  </si>
  <si>
    <t>MVP</t>
  </si>
  <si>
    <t>Set as PK</t>
  </si>
  <si>
    <t>marketing_activity_id</t>
  </si>
  <si>
    <t>Identifies the specific marketing activity being linked</t>
  </si>
  <si>
    <t>FK -&gt; Marketing Activity.Marketing_Activity_ID</t>
  </si>
  <si>
    <t>Changed Name to marekting activity ID</t>
  </si>
  <si>
    <t>interaction_id</t>
  </si>
  <si>
    <t>Identifies the specific interaction that is being linked</t>
  </si>
  <si>
    <t>FK -&gt; Interaction.Interaction_ID</t>
  </si>
  <si>
    <t>outcome_type</t>
  </si>
  <si>
    <t>Identifies which outcome table is being linked</t>
  </si>
  <si>
    <t>Picklist</t>
  </si>
  <si>
    <t>outcome_id</t>
  </si>
  <si>
    <t>Identifies the specific outcome within that table that is linked.</t>
  </si>
  <si>
    <t>FK -&gt; Outcome_Type.Outcome_ID</t>
  </si>
  <si>
    <t>company_id</t>
  </si>
  <si>
    <t>Identifies the company that carried out the interaction and is related to the outcome.</t>
  </si>
  <si>
    <t>FK -&gt; Company.Company_ID</t>
  </si>
  <si>
    <t>person_id</t>
  </si>
  <si>
    <t>Identifies the Person related to the activity or interaction.</t>
  </si>
  <si>
    <t>FK -&gt; Person.Person_ID</t>
  </si>
  <si>
    <t>relation_type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</si>
  <si>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</si>
  <si>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</si>
  <si>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time_lag</t>
  </si>
  <si>
    <t>Time Between the Activity and the outcome * modelling may prefer to calculate from source fields.</t>
  </si>
  <si>
    <t>Used as a paremeter to govern how much attribution is given to this link.</t>
  </si>
  <si>
    <t>Time Difference</t>
  </si>
  <si>
    <t>product_yca_tier</t>
  </si>
  <si>
    <t>Identifiest the Tier of the product that is the closest common parent to the product of the order and the product of the Campaign or Asset.</t>
  </si>
  <si>
    <t>Not Relevant for analytics</t>
  </si>
  <si>
    <t>List of Values [Tiers}</t>
  </si>
  <si>
    <t>company_yca_type</t>
  </si>
  <si>
    <t>Gives the company_business_type of the Youngest Common Ancestor of the company the order was associated and the company assoicated to the activity.</t>
  </si>
  <si>
    <t>List of value [Company Types]</t>
  </si>
  <si>
    <t>model_output_id</t>
  </si>
  <si>
    <t>Unique Identifier for the model output given for this link and model.</t>
  </si>
  <si>
    <t>ID - PK</t>
  </si>
  <si>
    <t>Which is the link this result relates to</t>
  </si>
  <si>
    <t>ID - FK</t>
  </si>
  <si>
    <t>model_id</t>
  </si>
  <si>
    <t>Which Model has provided this result</t>
  </si>
  <si>
    <t>attribution_weight</t>
  </si>
  <si>
    <t>What is the proportion of the outcome that was caused by the activity as calculated by the model.</t>
  </si>
  <si>
    <t>Float</t>
  </si>
  <si>
    <t>Attrribution Model</t>
  </si>
  <si>
    <t>Unique Identifier for the model</t>
  </si>
  <si>
    <t>If Available</t>
  </si>
  <si>
    <t>model_name</t>
  </si>
  <si>
    <t>Name given the the model</t>
  </si>
  <si>
    <t>String</t>
  </si>
  <si>
    <t>V01.0_Rules_Based_with_Guardrails</t>
  </si>
  <si>
    <t>model_start_date</t>
  </si>
  <si>
    <t>When was the model usable from</t>
  </si>
  <si>
    <t>Date</t>
  </si>
  <si>
    <t>model_end_date</t>
  </si>
  <si>
    <t>When does the model cease to be useable.</t>
  </si>
  <si>
    <t>model_status</t>
  </si>
  <si>
    <t>is the model validated and usable, or retired</t>
  </si>
  <si>
    <t>model_type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</si>
  <si>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</si>
  <si>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</si>
  <si>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</si>
  <si>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</si>
  <si>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outcome_used</t>
  </si>
  <si>
    <t xml:space="preserve">Which outcome is this model Attributing for </t>
  </si>
  <si>
    <t>Raised Orders, Completed Orders, Customer Value Change, Churn, leads, Lead Conversion</t>
  </si>
  <si>
    <t>model_owner</t>
  </si>
  <si>
    <t>Current Owner of the model implimentation</t>
  </si>
  <si>
    <t>Petros</t>
  </si>
  <si>
    <t>audience_id</t>
  </si>
  <si>
    <t>name</t>
  </si>
  <si>
    <t>Friendly Name of the audience</t>
  </si>
  <si>
    <t>type</t>
  </si>
  <si>
    <t>How is this audience identified</t>
  </si>
  <si>
    <t>audience_criteria_description</t>
  </si>
  <si>
    <t>An description of the requirements for the audience to fulfil</t>
  </si>
  <si>
    <t>audience_criteria_technical</t>
  </si>
  <si>
    <t>The technical implimentation of these audience requirements.</t>
  </si>
  <si>
    <t>propensity_model_used</t>
  </si>
  <si>
    <t>Identifies the propensity model that is used as part of the audience selection criteria. This would be a FK to another table.</t>
  </si>
  <si>
    <t>N/A</t>
  </si>
  <si>
    <t>Dimensions for filter and comparison, Gives the end user the ability to understand the effectiveness of the propensity models.</t>
  </si>
  <si>
    <t>size_individuals</t>
  </si>
  <si>
    <t>The Estimated or actual count of individuals that form this audience.</t>
  </si>
  <si>
    <t>size_companies</t>
  </si>
  <si>
    <t>The Estimated or actual count of Companies that form this audience. *Company Granularity to be determined</t>
  </si>
  <si>
    <t>campaign_id</t>
  </si>
  <si>
    <t>Primary Identified for a campaign, This could either be the Monday code or a GCP generated ID, using the Monday code as a proxy identifier.</t>
  </si>
  <si>
    <t>campaign_name</t>
  </si>
  <si>
    <t>The Unique business understandable short name of the campaign.</t>
  </si>
  <si>
    <t>created_date</t>
  </si>
  <si>
    <t>Date the Campaign was created (in Monday.com)</t>
  </si>
  <si>
    <t>start_date</t>
  </si>
  <si>
    <t>Date the campaign First went live and it was possible for a person to interact with the campaigns content.</t>
  </si>
  <si>
    <t>end_date</t>
  </si>
  <si>
    <t>Date the campaign finished, the content is no longer being shared and new interactions are either impossible or unlikely.</t>
  </si>
  <si>
    <t>budget_timeframe</t>
  </si>
  <si>
    <t>The Quarter? Budget that was allocated to the development and support of this campaign. TBC this may need to be a Multi Line/ separate object depending on data source.</t>
  </si>
  <si>
    <t>N/A - When budget was allocated shouldn't have any impact of overall campaign attribution</t>
  </si>
  <si>
    <t>Support Views look at Spend vs outcome for appropriate ROI analysis.</t>
  </si>
  <si>
    <t>targeted_audience_id</t>
  </si>
  <si>
    <t>** Might not be directly relevant might primarially be joined via the Activity</t>
  </si>
  <si>
    <t>FK -&gt; Audience.Audience_ID</t>
  </si>
  <si>
    <t>parent_campaign_id</t>
  </si>
  <si>
    <t>Identifies a parent campaign that might encompass multiple child campaigns.</t>
  </si>
  <si>
    <t>Modelling would focus on the lowest level of campaign</t>
  </si>
  <si>
    <t>For grouping and organisation of campaigns as well as handling roleup and agreegation to different levels.</t>
  </si>
  <si>
    <t>FK -&gt;Campaigns.Campaign_ID</t>
  </si>
  <si>
    <t>costs_anticipated</t>
  </si>
  <si>
    <t>Planned Cost of the campaign, How much of the budget has been provisionally allocated.</t>
  </si>
  <si>
    <t>costs_actuals</t>
  </si>
  <si>
    <t>The actual tracked cost for this campaign. TBC if this is just external cost of if there is also an internal effort considered here.</t>
  </si>
  <si>
    <t>outcome_targets</t>
  </si>
  <si>
    <t>Likely Multiple Fields, E.G. Expected uplift in order amounts. TBC with Monday.com setup what is available.</t>
  </si>
  <si>
    <t>Visual to show actuals vs Targets Able to show which campaigns are performing below or above expectations.</t>
  </si>
  <si>
    <t>brand</t>
  </si>
  <si>
    <t>Which Brand is the Campaign Representing</t>
  </si>
  <si>
    <t>Allow limiting or wieghting of attribution based on Brand matching between activity and outcome.</t>
  </si>
  <si>
    <t>Dimension for Filter / Comparison</t>
  </si>
  <si>
    <t>BT Business
EE Business
BT Consumer
EE Consumer</t>
  </si>
  <si>
    <t>business_unit</t>
  </si>
  <si>
    <t>Which Business Unit is the campaign Targeting</t>
  </si>
  <si>
    <t>SMB, CPS, Global</t>
  </si>
  <si>
    <t>dmo_owner</t>
  </si>
  <si>
    <t>Or another table that identifies the roles associated with the campaign.</t>
  </si>
  <si>
    <t>???_owner</t>
  </si>
  <si>
    <t>product_id</t>
  </si>
  <si>
    <t>Identifies the Product the Campaign Is Targeting</t>
  </si>
  <si>
    <t>FK -&gt; Product.Product_ID</t>
  </si>
  <si>
    <t>objective</t>
  </si>
  <si>
    <t>What part of the customer lifecycle is being targeted</t>
  </si>
  <si>
    <t>Welcome;
Acquisition;
Upsell;
Cross-sell;
Retention;
In-Life;
Service;
Migration;
Out of Contract;</t>
  </si>
  <si>
    <t>partner</t>
  </si>
  <si>
    <t>Company that is partnering, supporting, or running the campaign. E.G. a Joint Event with a Vendor.</t>
  </si>
  <si>
    <t>source_table</t>
  </si>
  <si>
    <t>Identifies the GCP table that this Row is sourced from</t>
  </si>
  <si>
    <t>GCP Table Reference</t>
  </si>
  <si>
    <t>source_id_field</t>
  </si>
  <si>
    <t>Identifies the PK field of that table.</t>
  </si>
  <si>
    <t>source_id</t>
  </si>
  <si>
    <t>The Source Table PK Value.</t>
  </si>
  <si>
    <t>FK -&gt; Source_Table. Source_ID_Field</t>
  </si>
  <si>
    <t>channel_id</t>
  </si>
  <si>
    <t>GCP Generated</t>
  </si>
  <si>
    <t>PK to be referenced by other objects.</t>
  </si>
  <si>
    <t>channel_name</t>
  </si>
  <si>
    <t>Name Representing the channel</t>
  </si>
  <si>
    <t>Used for grouping and comparison within dashboards.</t>
  </si>
  <si>
    <t>Updated Name to Channel Name to avoid field clashing</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</si>
  <si>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</si>
  <si>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</si>
  <si>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</si>
  <si>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</si>
  <si>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</si>
  <si>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</si>
  <si>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communication_mode</t>
  </si>
  <si>
    <t>Identifies if this is a push or pull communication.</t>
  </si>
  <si>
    <t>Helps understanding which attributes we would expect in the related marketing activities.</t>
  </si>
  <si>
    <t>Push
Pull</t>
  </si>
  <si>
    <t>parent_company_id</t>
  </si>
  <si>
    <t>company_market_channel</t>
  </si>
  <si>
    <t>Describes which business area in BT is responsible for marketing and sales to this account.</t>
  </si>
  <si>
    <t>Different market channel may have different parameter rulesets.</t>
  </si>
  <si>
    <t>A key filter in most dashboards as almost all audiences will care about only companis from a single group in this list.</t>
  </si>
  <si>
    <t>SMB, CPS, Wholesale, Global</t>
  </si>
  <si>
    <t>company_business_type</t>
  </si>
  <si>
    <t>Describes the granularity/ Type of account at a size level. Also how BT thinks about this account. Used to understand the hierarchy.</t>
  </si>
  <si>
    <t>Used as part of the linking strategy to understand how closely linked a marketing activity is to an outcome. We may look at the largest grain of company needed for form the link.</t>
  </si>
  <si>
    <t>CUG, Billing Account, SAC, World Key, LE</t>
  </si>
  <si>
    <t>owner_id</t>
  </si>
  <si>
    <t>Who is the sales person assigned to manage this company as an account. There may be multiple or other roles associated with the account.</t>
  </si>
  <si>
    <t>Not Used for modelling</t>
  </si>
  <si>
    <t>Potentially supports the ability for users to filter down to only accounts they Owner / Another way to find relevant accounts.</t>
  </si>
  <si>
    <t>vertical</t>
  </si>
  <si>
    <t>This is a placeholder for descriptive fields for the type of work this company does. We are looking for fields that would identify similar companies that might be expected to respond similarly to marketing or purchase similar products from BT</t>
  </si>
  <si>
    <t>List of Values</t>
  </si>
  <si>
    <t>Finacial Services, Healthcare, Retail,... (exact values dependant on the data)</t>
  </si>
  <si>
    <t>industry</t>
  </si>
  <si>
    <t>This is a placeholder for descriptive fields for the type of work this company does. We are looking for fields that would identify similar companies that might be expected to respond similarly to marketing or purchase similar products from BT, This would be a more granular view of the same information as verticle. Could be SIC codes type information.</t>
  </si>
  <si>
    <t>Not Used For modelling Currently, But could form an attribute for a algorithmic model</t>
  </si>
  <si>
    <t>A dimension for filtering or comparison</t>
  </si>
  <si>
    <t>"Customer-Data &amp; Personalisation (CDP/RT-CDP) Software", "AI-Driven Medical Imaging Diagnostics", "RegTech Compliance Automation Platforms"</t>
  </si>
  <si>
    <t>location</t>
  </si>
  <si>
    <t>This is a proxy field for some set of fields that identify company locations, can be aligned to source data structure.</t>
  </si>
  <si>
    <t>The friendly or offical name of the company.</t>
  </si>
  <si>
    <t>Needed for selection of the company specific dashboard and as a dimension in some detailed breakdowns.</t>
  </si>
  <si>
    <t>Clevertouch Consulting ltd</t>
  </si>
  <si>
    <t>datekey</t>
  </si>
  <si>
    <t>This is the Date Primary Key</t>
  </si>
  <si>
    <t>date</t>
  </si>
  <si>
    <t>Actual Date being represented</t>
  </si>
  <si>
    <t>financial_year</t>
  </si>
  <si>
    <t>Which financial Year this date falls within</t>
  </si>
  <si>
    <t>financial_quarter</t>
  </si>
  <si>
    <t>Which Financial Quarter this date falls into.</t>
  </si>
  <si>
    <t>financial_month_number</t>
  </si>
  <si>
    <t>Month Number within BT Financial Year.</t>
  </si>
  <si>
    <t>is_weekend</t>
  </si>
  <si>
    <t>is_holiday</t>
  </si>
  <si>
    <t>Name of the tool</t>
  </si>
  <si>
    <t>owner</t>
  </si>
  <si>
    <t>The BT team member that is responsible for this tool</t>
  </si>
  <si>
    <t>Optional Name of the activity, might not be needed may come from asset + Campaign.</t>
  </si>
  <si>
    <t>Unique Identifier for the Interaction</t>
  </si>
  <si>
    <t>interaction_type</t>
  </si>
  <si>
    <t>What was the type of intereaction. E.G. Open, Click, Visit, Call,…</t>
  </si>
  <si>
    <t>interaction_date</t>
  </si>
  <si>
    <t>When did this interaction happen.</t>
  </si>
  <si>
    <t>interaction_dur</t>
  </si>
  <si>
    <t>How long did the interaction last.</t>
  </si>
  <si>
    <t>INTERVAL</t>
  </si>
  <si>
    <t>1-2 3 4:5:6.789999
https://cloud.google.com/bigquery/docs/reference/standard-sql/interval_functions</t>
  </si>
  <si>
    <t>follow_from_interaction_id</t>
  </si>
  <si>
    <t>If interaction came from a separate interaction. I.E. click on link -&gt; View Webpage -&gt; Submit Form</t>
  </si>
  <si>
    <t>FK -&gt; interactions.interaction_id</t>
  </si>
  <si>
    <t>What was the Activity this interaction is related to.</t>
  </si>
  <si>
    <t>FK -&gt; Marketing Activity.marketing_activity_id</t>
  </si>
  <si>
    <t>interacted_person_id</t>
  </si>
  <si>
    <t>Identifies the person that carried out the interaction.</t>
  </si>
  <si>
    <t>interacted_company_id</t>
  </si>
  <si>
    <t>Identifies the company that carried out the interaction.</t>
  </si>
  <si>
    <t>identification_method_type</t>
  </si>
  <si>
    <t>What method was used to identify the individual or company for this interaction.</t>
  </si>
  <si>
    <r>
      <rPr>
        <b/>
        <sz val="11"/>
        <color rgb="FF000000"/>
        <rFont val="Aptos Narrow"/>
        <family val="2"/>
        <scheme val="minor"/>
      </rPr>
      <t>Outbound Known Person</t>
    </r>
    <r>
      <rPr>
        <sz val="11"/>
        <color rgb="FF000000"/>
        <rFont val="Aptos Narrow"/>
        <family val="2"/>
        <scheme val="minor"/>
      </rPr>
      <t xml:space="preserve"> - We sent a communication to a specific person and so subsiquent actions can be linked to the same person.
</t>
    </r>
    <r>
      <rPr>
        <b/>
        <sz val="11"/>
        <color rgb="FF000000"/>
        <rFont val="Aptos Narrow"/>
        <family val="2"/>
        <scheme val="minor"/>
      </rPr>
      <t>Outbound Known Company</t>
    </r>
    <r>
      <rPr>
        <sz val="11"/>
        <color rgb="FF000000"/>
        <rFont val="Aptos Narrow"/>
        <family val="2"/>
        <scheme val="minor"/>
      </rPr>
      <t xml:space="preserve"> - We sent a communication to a specific company and so Subsciquent actions can be linked to that company. We do not know which person in the company recieved the communication.
</t>
    </r>
    <r>
      <rPr>
        <b/>
        <sz val="11"/>
        <color rgb="FF000000"/>
        <rFont val="Aptos Narrow"/>
        <family val="2"/>
        <scheme val="minor"/>
      </rPr>
      <t>Self Identification</t>
    </r>
    <r>
      <rPr>
        <sz val="11"/>
        <color rgb="FF000000"/>
        <rFont val="Aptos Narrow"/>
        <family val="2"/>
        <scheme val="minor"/>
      </rPr>
      <t xml:space="preserve"> - The person Identified themselves through login or form submission.
</t>
    </r>
    <r>
      <rPr>
        <b/>
        <sz val="11"/>
        <color rgb="FF000000"/>
        <rFont val="Aptos Narrow"/>
        <family val="2"/>
        <scheme val="minor"/>
      </rPr>
      <t>Visitor Matching Person</t>
    </r>
    <r>
      <rPr>
        <sz val="11"/>
        <color rgb="FF000000"/>
        <rFont val="Aptos Narrow"/>
        <family val="2"/>
        <scheme val="minor"/>
      </rPr>
      <t xml:space="preserve"> - Other Interactions associated with the same visitor have been identified through Self Identification or Known communications. So we can infer this is the same person.
</t>
    </r>
    <r>
      <rPr>
        <b/>
        <sz val="11"/>
        <color rgb="FF000000"/>
        <rFont val="Aptos Narrow"/>
        <family val="2"/>
        <scheme val="minor"/>
      </rPr>
      <t xml:space="preserve">Visitor Matching Company </t>
    </r>
    <r>
      <rPr>
        <sz val="11"/>
        <color rgb="FF000000"/>
        <rFont val="Aptos Narrow"/>
        <family val="2"/>
        <scheme val="minor"/>
      </rPr>
      <t xml:space="preserve">- Other Interactions associated with the same visitor have been identified through Self Identification or Known communications. So we can infer this is the same Company.
</t>
    </r>
    <r>
      <rPr>
        <b/>
        <sz val="11"/>
        <color rgb="FF000000"/>
        <rFont val="Aptos Narrow"/>
        <family val="2"/>
        <scheme val="minor"/>
      </rPr>
      <t>IP Company Match</t>
    </r>
    <r>
      <rPr>
        <sz val="11"/>
        <color rgb="FF000000"/>
        <rFont val="Aptos Narrow"/>
        <family val="2"/>
        <scheme val="minor"/>
      </rPr>
      <t xml:space="preserve"> - IP Associated with this interaction has been consistantly matched with the same company, So we have infered the company through this IP.</t>
    </r>
  </si>
  <si>
    <t>13/10/2025</t>
  </si>
  <si>
    <t>Updated Example Values and Added Descriptions.</t>
  </si>
  <si>
    <t>data_source_name</t>
  </si>
  <si>
    <t>Which system tracked this interaction</t>
  </si>
  <si>
    <t>tool_id</t>
  </si>
  <si>
    <t>Sythentic ID given to head tool</t>
  </si>
  <si>
    <t>Unique Identifier for the activity</t>
  </si>
  <si>
    <t>reach_companies</t>
  </si>
  <si>
    <t>The estimated or actual number of companies that would have had the opportunity to interact with this activity. * Company Granularity to be determined</t>
  </si>
  <si>
    <t>Combine with the audience size to estimate the likelyhood that anyone in the audience was impacted by this activity.</t>
  </si>
  <si>
    <t>potential Metric for future dashboards that are not currently in scope</t>
  </si>
  <si>
    <t>Integer</t>
  </si>
  <si>
    <t>reach_individuals</t>
  </si>
  <si>
    <t>The estimated or actual number of individuals that would have had an opportunity to interact with this activity</t>
  </si>
  <si>
    <t>targeted_person_id</t>
  </si>
  <si>
    <t>Identifies the person the marketing activity targeted.</t>
  </si>
  <si>
    <t>marketing_asset_id</t>
  </si>
  <si>
    <t>Identifies the marketing asset that this marketing activity shares</t>
  </si>
  <si>
    <t>FK -&gt; Marketing_Asset.Marketing_Asset_ID</t>
  </si>
  <si>
    <t>system_id</t>
  </si>
  <si>
    <t>Which System facilitated this Activity</t>
  </si>
  <si>
    <t>FK -&gt; Facilitation_tool.tool_id</t>
  </si>
  <si>
    <t>targeted_company_id</t>
  </si>
  <si>
    <t>Identified the company that was targeted with the communication.</t>
  </si>
  <si>
    <t>Which channel is the marketing activity part of. What is the method of delivery.</t>
  </si>
  <si>
    <t>FK -&gt; Channel.channel_ID</t>
  </si>
  <si>
    <t>Which campaign was this activity associated with.</t>
  </si>
  <si>
    <t>FK -&gt; Campaigns.Campaign_ID</t>
  </si>
  <si>
    <t>The Expected audience for this Activity</t>
  </si>
  <si>
    <t>Used to limit which people / companies are likely to have been impacted by this activity</t>
  </si>
  <si>
    <t>FK -&gt; Audience.audience_ID</t>
  </si>
  <si>
    <t>FK</t>
  </si>
  <si>
    <t>status</t>
  </si>
  <si>
    <t>What is the status of the push activity, I.E. was it Delivered, Part of control cell,…</t>
  </si>
  <si>
    <t>Enum</t>
  </si>
  <si>
    <t>When the asset stopped being shared through this mechanism and interactions are either impossible or unlikely.</t>
  </si>
  <si>
    <t>MVP - For Certain Activity Types only</t>
  </si>
  <si>
    <t>When the asset started to be shared through this mechanism and interactions are possible.</t>
  </si>
  <si>
    <t>yearly_cost</t>
  </si>
  <si>
    <t>* We may want a more compex tracking method later. This should be the cost that is not campaign specific. I.E. General License and platform maintainance costs.</t>
  </si>
  <si>
    <t>Currency Pounds</t>
  </si>
  <si>
    <t>Primary key for each unique Marketing Asset</t>
  </si>
  <si>
    <t>uses_dynamic_content</t>
  </si>
  <si>
    <t>identifies if the content contains dynamic personalisation specific to the audience.</t>
  </si>
  <si>
    <t>pega_flag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</si>
  <si>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</si>
  <si>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</si>
  <si>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</si>
  <si>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</si>
  <si>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</si>
  <si>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Links to the product or product family that this asset is promoting.</t>
  </si>
  <si>
    <t>Used to match the target product for a marketing asset with outcomes for the same product family as a potential differentiator for attribution.</t>
  </si>
  <si>
    <t>Allows grouping and comparison of marketing assets by the product they are promoting.</t>
  </si>
  <si>
    <t>opportunity_id</t>
  </si>
  <si>
    <t>Sythentic ID created for this record.</t>
  </si>
  <si>
    <t>Name of the opportunity</t>
  </si>
  <si>
    <t>Used to allow identification of the specific opportunity in detailed investigation.</t>
  </si>
  <si>
    <t>date the opportunity was created</t>
  </si>
  <si>
    <t>close_date</t>
  </si>
  <si>
    <t>Date the opportunity was closed.</t>
  </si>
  <si>
    <t>closed</t>
  </si>
  <si>
    <t>Has the opportunity been completed (true) or is still open to change (false)</t>
  </si>
  <si>
    <t>Boolean</t>
  </si>
  <si>
    <t>won</t>
  </si>
  <si>
    <t>If closed was the opportunity won e.g. Successsfully sold. Otherwise false.</t>
  </si>
  <si>
    <t>This is needed to filter only won opportunity available for attribution.</t>
  </si>
  <si>
    <t>How far through the sales process is the opportunity currently.</t>
  </si>
  <si>
    <t>probability</t>
  </si>
  <si>
    <t>Sales estimated likelyhood that the opportunity will close successfully, This is often linked to the status.</t>
  </si>
  <si>
    <t>amount</t>
  </si>
  <si>
    <t>Estimated or final amount the opportunity is sold for. It might be there are multiple amount fields available for difference financial lenses. We might need all of these available.</t>
  </si>
  <si>
    <t>This is amount fields that will be used for attribution to attribute revenue back to campaigns.</t>
  </si>
  <si>
    <t>order_id</t>
  </si>
  <si>
    <t>If opportunity closes successfully what was the order that fulfilled the opportunity. May be multiple orders in which case a more complex model is required. or JSON?</t>
  </si>
  <si>
    <t>FK -&gt; order.order_id</t>
  </si>
  <si>
    <t xml:space="preserve">Identifies the company that this opportunity is associated with. This </t>
  </si>
  <si>
    <t>Needed to associated contacts and activities to the outcome</t>
  </si>
  <si>
    <t>FK -&gt; company.company_id</t>
  </si>
  <si>
    <t>date_reached_[status]</t>
  </si>
  <si>
    <t>Set of fields that identify the date the opportunity reached a certain status (or probability)</t>
  </si>
  <si>
    <t>May be the key date for linking to a certain type of outcome.</t>
  </si>
  <si>
    <t>link to the product (or Products) in our product table that are planned or will be bought</t>
  </si>
  <si>
    <t>This is needed for the product alignement part of the attribution model</t>
  </si>
  <si>
    <t>Unique Identifier for this order.</t>
  </si>
  <si>
    <t>Unique Friendly name of the order, May be a concatenation of product, Time and company.</t>
  </si>
  <si>
    <t>Which particular product was being sold in the order. *It might be actual we relate the order to a more complex product table depending on how the source data is structured</t>
  </si>
  <si>
    <t>FK -&gt; Product.product_id</t>
  </si>
  <si>
    <t>action_type</t>
  </si>
  <si>
    <t xml:space="preserve">In what part of the customer lifecycle is this order, what is its context based on current  company status. </t>
  </si>
  <si>
    <t>String Enum</t>
  </si>
  <si>
    <t>Provide, Resign and Churn</t>
  </si>
  <si>
    <t>sales_channel</t>
  </si>
  <si>
    <t xml:space="preserve">How did the customer make the order
</t>
  </si>
  <si>
    <t>Indirect Partner Sales;
NI;
Bus Sales New;
CPS;
Other;
Bus Sales;
Global Services;
BTLB - London;
Digital;
EE Online;
SME DESK Online;
SME Field;
BTBus Online;
Retail;
EE;
Desk Other;
BTLB - Other;
Outbound;
BTLB - SALESLAB;
EE Inbound;
Glasgow SME Outbound;
Retention;
SME DESK;
BTLB - South;
Voice Inbound;
BTLB - North;
BTLB - Central;
Outbound Voice;
Glasgow SoHo Outbound;
Enterprise Service;
BTLB - West;
Enterprise Sales Enablement;
Other_SC;
BTLB;
EE Major Public Sector;
SME Mid-Market;</t>
  </si>
  <si>
    <t>Y (as Sales Channel)</t>
  </si>
  <si>
    <t>date_raised</t>
  </si>
  <si>
    <t>Date the order was agreed by the client, They have commited to buy at agreed price</t>
  </si>
  <si>
    <t>NI</t>
  </si>
  <si>
    <t>Outcome Date</t>
  </si>
  <si>
    <t>The effective date of when the event happened, For new orders its creation, for renewal its the renewal date, for Churn its the expiration date of the contract.</t>
  </si>
  <si>
    <t>This is the key date for attribution as its the date that ties activities to outcomes, Only activities happening before this date can be attributed in the outcome.</t>
  </si>
  <si>
    <t>Bus Sales New</t>
  </si>
  <si>
    <t>transaction_date</t>
  </si>
  <si>
    <t>When was the order actually transacted</t>
  </si>
  <si>
    <t>CPS</t>
  </si>
  <si>
    <t>sales_order_value</t>
  </si>
  <si>
    <t>Other</t>
  </si>
  <si>
    <t>sales_order_value_gross_margin</t>
  </si>
  <si>
    <t>Bus Sales</t>
  </si>
  <si>
    <t>initial_contract_value</t>
  </si>
  <si>
    <t>Global Services</t>
  </si>
  <si>
    <t>initial_contract_value_gross_margin</t>
  </si>
  <si>
    <t>BTLB - London</t>
  </si>
  <si>
    <t>average_revenue_per_unit</t>
  </si>
  <si>
    <t>Digital</t>
  </si>
  <si>
    <t>Value_Deltas</t>
  </si>
  <si>
    <t>Represents multiple fields that are the difference between the values of this order and the value of the previous order that this is linked to.</t>
  </si>
  <si>
    <t>These will be the figures used to Showcase the Value change measurement.</t>
  </si>
  <si>
    <t>EE Online</t>
  </si>
  <si>
    <t>Value_deltas With Retention</t>
  </si>
  <si>
    <t>Gives the value difference estimate, factoring the likelyhood of churn</t>
  </si>
  <si>
    <t>These will be the figures used to showcase the churn impact measurements.</t>
  </si>
  <si>
    <t>SME DESK Online</t>
  </si>
  <si>
    <t>Renewal Quantity difference</t>
  </si>
  <si>
    <t>Difference between the outgoing product order quantity and the incoming order quantity</t>
  </si>
  <si>
    <t>Use to categories renewals that increased the Unit Count.</t>
  </si>
  <si>
    <t>SME Field</t>
  </si>
  <si>
    <t>ARPU_Delta</t>
  </si>
  <si>
    <t>One of the Value deltas, This outlines the change in Average revenue per unit, between the old and new order</t>
  </si>
  <si>
    <t>Used to categories the renewals on thier ARPU change. Help to investigate the reason for Customer Value change.</t>
  </si>
  <si>
    <t>BTBus Online</t>
  </si>
  <si>
    <t>Company the order is for * might their be cases where the paying company is meaningfully distinct from the using company</t>
  </si>
  <si>
    <t>Retail</t>
  </si>
  <si>
    <t>Y (as BAC and LE)</t>
  </si>
  <si>
    <t>The Key Contact Associated with Making the order, It might be we need a full relationship table that dictates the roles for the order, Dependant on available data.</t>
  </si>
  <si>
    <t>EE</t>
  </si>
  <si>
    <t>Changed name from Contact_id to be consistant with other fields</t>
  </si>
  <si>
    <t>date_completed</t>
  </si>
  <si>
    <t>When is the order delivery completed and revenue is confirmed.</t>
  </si>
  <si>
    <t>Desk Other</t>
  </si>
  <si>
    <t>causal_interaction_id</t>
  </si>
  <si>
    <t>The Iteraction that lead to the sale. E.G. the call. Foreign Key to the Interaction table.</t>
  </si>
  <si>
    <t>BTLB - Other</t>
  </si>
  <si>
    <t>related_opportunity_id</t>
  </si>
  <si>
    <t>Which Opportunity preceeded and drove this order</t>
  </si>
  <si>
    <t>FK -&gt; Opportunity.Opportunity_ID</t>
  </si>
  <si>
    <t>Outbound</t>
  </si>
  <si>
    <t>contract_term</t>
  </si>
  <si>
    <t>Agreed length of the contract.</t>
  </si>
  <si>
    <t>BTLB - SALESLAB</t>
  </si>
  <si>
    <t>previous_order_id</t>
  </si>
  <si>
    <t>Link to another order where this order was a renewal of a previous order.</t>
  </si>
  <si>
    <t>FK -&gt; Orders.Order_ID</t>
  </si>
  <si>
    <t>EE Inbound</t>
  </si>
  <si>
    <t>ceased_date</t>
  </si>
  <si>
    <t>Date when the subscription expires or date when subscription is cancled. For non subscription products this would be blank</t>
  </si>
  <si>
    <t>Glasgow SME Outbound</t>
  </si>
  <si>
    <t>product_price_type</t>
  </si>
  <si>
    <t>Identifies if it’s a one off or recurring revenue sales. I.E&gt; Subscription.</t>
  </si>
  <si>
    <t>product_quantity</t>
  </si>
  <si>
    <t>SME DESK</t>
  </si>
  <si>
    <t>cessetion_reason_group</t>
  </si>
  <si>
    <t>Cessation reason of the Order Item. Stopped after use .</t>
  </si>
  <si>
    <t>BTLB - South</t>
  </si>
  <si>
    <t>cessetion_reason_sub_group</t>
  </si>
  <si>
    <t>Added sub group field as there are 2 fields for Ceassation reason in source.</t>
  </si>
  <si>
    <t>Voice Inbound</t>
  </si>
  <si>
    <t>cancel_reason</t>
  </si>
  <si>
    <t>Reason for canceling, Stopped without using or applying, I bought then decided not to. I requested an adjustment then decided I didn't want the change.</t>
  </si>
  <si>
    <t>BTLB - North</t>
  </si>
  <si>
    <t>BTLB - Central</t>
  </si>
  <si>
    <t>Outbound Voice</t>
  </si>
  <si>
    <t>Glasgow SoHo Outbound</t>
  </si>
  <si>
    <t>Sythentic ID given to this individiual</t>
  </si>
  <si>
    <t>Enterprise Service</t>
  </si>
  <si>
    <t>MPV</t>
  </si>
  <si>
    <t>persona</t>
  </si>
  <si>
    <t>BTLB - West</t>
  </si>
  <si>
    <t>…</t>
  </si>
  <si>
    <t>other existing people related fields tbc.</t>
  </si>
  <si>
    <t>Enterprise Sales Enablement</t>
  </si>
  <si>
    <t>Other_SC</t>
  </si>
  <si>
    <t>BTLB</t>
  </si>
  <si>
    <t>EE Major Public Sector</t>
  </si>
  <si>
    <t>Added, To align with agreement to remove person Company Role Table.</t>
  </si>
  <si>
    <t>SME Mid-Market</t>
  </si>
  <si>
    <t>When this person started the role at the company (To BT knowledge)</t>
  </si>
  <si>
    <t>When this person ended the role at the company (To BT Knowledge)</t>
  </si>
  <si>
    <t>role_type</t>
  </si>
  <si>
    <t>Identifies the Role the person had at the company,</t>
  </si>
  <si>
    <t>Sythentic ID that represents the Unified Product ID.</t>
  </si>
  <si>
    <t>For other Tables to Join to</t>
  </si>
  <si>
    <t>For other Tables to Join To</t>
  </si>
  <si>
    <t>product_parent_id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</si>
  <si>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</si>
  <si>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</si>
  <si>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</si>
  <si>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</si>
  <si>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</si>
  <si>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</si>
  <si>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</si>
  <si>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Renewal Rate</t>
  </si>
  <si>
    <t>The Likelyhood that this product is renewed on average, May need to be provided from a seperate data source, Or manually collated.</t>
  </si>
  <si>
    <t>Not Used for Modelling</t>
  </si>
  <si>
    <t>Used to help the calculation of customer value change and churn impacts.</t>
  </si>
  <si>
    <t>Decimal</t>
  </si>
  <si>
    <t>campaign_membership_id</t>
  </si>
  <si>
    <t>Primary key for this table.</t>
  </si>
  <si>
    <t>Identifies the campaign the company has a status with</t>
  </si>
  <si>
    <t>Identifies the company that has a status with the campaign.</t>
  </si>
  <si>
    <t>Gives the status of the company at the campaign. Primarially for identifying control cell. But Could have further values sumarrising engagement.</t>
  </si>
  <si>
    <t>Identifies is part of control cell</t>
  </si>
  <si>
    <t>Helps for high level campaign interaction KPI's or analysis.</t>
  </si>
  <si>
    <t>Control Cell, Member</t>
  </si>
  <si>
    <t>membership_start_date</t>
  </si>
  <si>
    <t>Date when the company became a member of the campaign or would have been if assigned to control cell.</t>
  </si>
  <si>
    <t>Allows exclusion of impact and standardisation of comparison for control cell analysis.</t>
  </si>
  <si>
    <t>Helpful for investigation</t>
  </si>
  <si>
    <t>Identifies the Channel (method of communication) of the associated marketing activity. This will be copied from the linked Activity Object.</t>
  </si>
  <si>
    <t>Used as part of parameter selection for the base score</t>
  </si>
  <si>
    <t>FK -&gt; Channel.Channel_ID</t>
  </si>
  <si>
    <t>Company id holds the value of company identifier for different company types Customer group id for Customer group and ph_co for Experian prospects</t>
  </si>
  <si>
    <t>sales_account_id</t>
  </si>
  <si>
    <t>This holds the Sales Account Code for CMF flow and BFG flow customers</t>
  </si>
  <si>
    <t>Possibly used in dashboard to facilitate finding and account or grouping similar accounts.</t>
  </si>
  <si>
    <t>STRING</t>
  </si>
  <si>
    <t>company_market_channel_code</t>
  </si>
  <si>
    <t>This holds the value of market_channel value for a company before SoHo migration for company types CUG</t>
  </si>
  <si>
    <t>Option to be used for dashboard segmentation or filtering</t>
  </si>
  <si>
    <t>company_old_market_channel_code</t>
  </si>
  <si>
    <t>This holds the value of old market_channel value for a company before SoHo migration for company types CUG</t>
  </si>
  <si>
    <t>Future Proof in case market channel updated again, this field keeps the pattern.</t>
  </si>
  <si>
    <t>company_type</t>
  </si>
  <si>
    <t>This hold the value of company type indicated whether the company is CUG or prospect</t>
  </si>
  <si>
    <t>Allows understanding of location in the hierarchy could be used for linking confidence.</t>
  </si>
  <si>
    <t>Allows selection of the correct level of account to select other fields from for dasbhoard dimensions.</t>
  </si>
  <si>
    <t>sales_person_id</t>
  </si>
  <si>
    <t>Salesperson id holds the value for Salesperson EIN based on Sales account code of the company</t>
  </si>
  <si>
    <t>Allows filtering of accounts for those owned by particular salesperson.</t>
  </si>
  <si>
    <t>industry_name</t>
  </si>
  <si>
    <t>Industry holds the value of type of business the company deals with</t>
  </si>
  <si>
    <t>Dimension for comparison or filtering, grouping accounts that may behave similarly.</t>
  </si>
  <si>
    <t>billing_country_name</t>
  </si>
  <si>
    <t>Billing Country holds the value of Country name associated with a company based on billing account</t>
  </si>
  <si>
    <t>field for comparison or filtering to understand impact by locations</t>
  </si>
  <si>
    <t>billing_state_name</t>
  </si>
  <si>
    <t>Billing state holds the value of state name associated with a company based on billing account</t>
  </si>
  <si>
    <t>billing_city_name</t>
  </si>
  <si>
    <t>Billing city holds the value of city name associated with a company based on billing account</t>
  </si>
  <si>
    <t>billing_street_name</t>
  </si>
  <si>
    <t>Billing street holds the value of street name associated with a company based on billing account</t>
  </si>
  <si>
    <t>billing_postal_code</t>
  </si>
  <si>
    <t>Billing postcode holds the value of postcode associated with a company based on billing account</t>
  </si>
  <si>
    <t>company_trading_unit_code</t>
  </si>
  <si>
    <t>This holds the value of new Trading unit value for a company after SoHo migration</t>
  </si>
  <si>
    <t>Model parameters are adjusted based upong the company trading unit value</t>
  </si>
  <si>
    <t>All dashboards are filtered based upon the company trading unit value.</t>
  </si>
  <si>
    <t>company_old_trading_unit_code</t>
  </si>
  <si>
    <t>This holds the value of Old Trading unit value for a company before SoHo migration for company types CUG</t>
  </si>
  <si>
    <t>annual_revenue_amount</t>
  </si>
  <si>
    <t>This hold the value of Annual revenue earned by a company</t>
  </si>
  <si>
    <t>Compare of Filter accounts by Size based upon revenue.</t>
  </si>
  <si>
    <t>company_name</t>
  </si>
  <si>
    <t>This holds the value of company name for different company types Customer group name for Customer group and company name for Experian prospects</t>
  </si>
  <si>
    <t>For Drill down analysis and uderstanding impact within specific company. Key field for company view.</t>
  </si>
  <si>
    <t>employees_count</t>
  </si>
  <si>
    <t>This holds the value of Number of employees associated with the company</t>
  </si>
  <si>
    <t>Compare of Filter accounts by Size based upon number of employees.</t>
  </si>
  <si>
    <t>INTEGER</t>
  </si>
  <si>
    <t>sic_code</t>
  </si>
  <si>
    <t>This hold the value of Standard Industrial Classification (SIC) Code for a company</t>
  </si>
  <si>
    <t>Compare of filter accounts by thier industry classification.</t>
  </si>
  <si>
    <t>website_name</t>
  </si>
  <si>
    <t>Website holds the value of website address provided by the company</t>
  </si>
  <si>
    <t>Allows clarification of which company for specific drill down investigations.</t>
  </si>
  <si>
    <t>company_status</t>
  </si>
  <si>
    <t>This holds the value of Company status which says the particular company is CUSTOMER/CEASEDCUSTOMER/PROSPECT</t>
  </si>
  <si>
    <t>For Filtering in dashboards.</t>
  </si>
  <si>
    <t>company_sector_name</t>
  </si>
  <si>
    <t>Company sector holds the value of sector name for a company based on part of the business activity</t>
  </si>
  <si>
    <t>company_territory_name</t>
  </si>
  <si>
    <t>Territory holds the value of a geographic area teh company belonging to</t>
  </si>
  <si>
    <t>Compare of filter accounts by thier region designation</t>
  </si>
  <si>
    <t>company_active_ind</t>
  </si>
  <si>
    <t>This tells whether the comActive flag represent whether the comapny is active or inactive based on the billing details for company types CUG/Experian Prospect Company is active or inactive</t>
  </si>
  <si>
    <t>explanitory varialbe for drill down to understand results for a particular company or group. Possible could be used to exclude accounts from some forward looking views.</t>
  </si>
  <si>
    <t>company_registered_post_code</t>
  </si>
  <si>
    <t>This holds the Registered postcode of a company</t>
  </si>
  <si>
    <t>Possible used for Audience criteria</t>
  </si>
  <si>
    <t>Location based Filtering or comparison</t>
  </si>
  <si>
    <t>company_registered_country_name</t>
  </si>
  <si>
    <t>This holds the Registered country name of a company</t>
  </si>
  <si>
    <t>company_live_sites_count</t>
  </si>
  <si>
    <t>This holds the value of number of live sites available for a company</t>
  </si>
  <si>
    <t>Comparison or filtering on company size based upon sites.</t>
  </si>
  <si>
    <t>company_number_of_sites_count</t>
  </si>
  <si>
    <t>This holds the value of number of total sites available for a company</t>
  </si>
  <si>
    <t>company_aic_code</t>
  </si>
  <si>
    <t>Comany AIC holds the value for Affiliated Industry Code of a company</t>
  </si>
  <si>
    <t>company_business_start_year_number</t>
  </si>
  <si>
    <t>This holds the value of year when the business started for a company</t>
  </si>
  <si>
    <t>Compare of filter accounts by thier age.</t>
  </si>
  <si>
    <t>company_overall_suppression_ind</t>
  </si>
  <si>
    <t>If all the channels are suppressed it is completely suppressed (Y) else (N ) ie. anyone of the channel exposed for contact</t>
  </si>
  <si>
    <t>Future Usefulness for monitorying suppression acceptance and explanitory indicator for specific company behavoir.</t>
  </si>
  <si>
    <t>soho_marketing_cohort_code</t>
  </si>
  <si>
    <t>This column holds the values of marketing made to a customers who has similar products, which comes from Franky data</t>
  </si>
  <si>
    <t>For inclusion of frank process analysis. Future use case</t>
  </si>
  <si>
    <t>soho_marketing_promotion_code</t>
  </si>
  <si>
    <t>This column holds the values of promotional marketing made to a customer which has similar products, which comes from Franky data</t>
  </si>
  <si>
    <t>soho_month_cohort_code</t>
  </si>
  <si>
    <t>This column holds the values of monthly marketing made to a customers who has similar products, which comes from Franky data</t>
  </si>
  <si>
    <t>bt_customer_ind</t>
  </si>
  <si>
    <t>This column indicates if the customer is a BT Customer</t>
  </si>
  <si>
    <t>Key Filter for Identifying which dashbaord to show customer</t>
  </si>
  <si>
    <t>ee_customer_ind</t>
  </si>
  <si>
    <t>This column indicates if the customer is a EE Customer</t>
  </si>
  <si>
    <t>company_trading_status</t>
  </si>
  <si>
    <t>This coulun represents the Company Trading Status</t>
  </si>
  <si>
    <t>Useful for Drilldown investigation and/or exclusions</t>
  </si>
  <si>
    <t>company_death_reason_desc</t>
  </si>
  <si>
    <t>This column represents the reason for company death</t>
  </si>
  <si>
    <t>deleted_flag</t>
  </si>
  <si>
    <t>This hold the flag to show whether the company is active/inactive, also used for soft deletion</t>
  </si>
  <si>
    <t>Dashboard should still include "deleted Data" to maintain accurate history. However knowing they are deleted may be useful for investigative analysis.</t>
  </si>
  <si>
    <t>Interaction Type</t>
  </si>
  <si>
    <t>The Specific type of action taken by the person to interact with the marketing activity. This will be copied from the linked interaction object</t>
  </si>
  <si>
    <t>Activity ID</t>
  </si>
  <si>
    <t>Outcome ID</t>
  </si>
  <si>
    <t>Outcome Type</t>
  </si>
  <si>
    <t>Link ID</t>
  </si>
  <si>
    <t>Interaction</t>
  </si>
  <si>
    <t>Contact</t>
  </si>
  <si>
    <t>Relation Type</t>
  </si>
  <si>
    <t>Time Lag (Days)</t>
  </si>
  <si>
    <t>Weight</t>
  </si>
  <si>
    <t>Outcome Value</t>
  </si>
  <si>
    <t>Attributed Amount</t>
  </si>
  <si>
    <t>Sales Order Value</t>
  </si>
  <si>
    <t>Sales Order Value Gross Margin</t>
  </si>
  <si>
    <t>Initial Contract Value</t>
  </si>
  <si>
    <t>Initial Contract Value Gross margin</t>
  </si>
  <si>
    <t>Average Revenue per Unit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</si>
  <si>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</si>
  <si>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</si>
  <si>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</si>
  <si>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</si>
  <si>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</si>
  <si>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</si>
  <si>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</si>
  <si>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</si>
  <si>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</si>
  <si>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</si>
  <si>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</si>
  <si>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</si>
  <si>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</si>
  <si>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</si>
  <si>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</si>
  <si>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</si>
  <si>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</si>
  <si>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</si>
  <si>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</si>
  <si>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</si>
  <si>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</si>
  <si>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</si>
  <si>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</si>
  <si>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</si>
  <si>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</si>
  <si>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</si>
  <si>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</si>
  <si>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</si>
  <si>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</si>
  <si>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</si>
  <si>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</si>
  <si>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</si>
  <si>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</si>
  <si>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</si>
  <si>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</si>
  <si>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</si>
  <si>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</si>
  <si>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</si>
  <si>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</si>
  <si>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</si>
  <si>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</si>
  <si>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</si>
  <si>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</si>
  <si>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</si>
  <si>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</si>
  <si>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</si>
  <si>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</si>
  <si>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</si>
  <si>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</si>
  <si>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</si>
  <si>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</si>
  <si>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</si>
  <si>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</si>
  <si>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</si>
  <si>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</si>
  <si>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</si>
  <si>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</si>
  <si>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</si>
  <si>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</si>
  <si>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</si>
  <si>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</si>
  <si>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</si>
  <si>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</si>
  <si>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</si>
  <si>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</si>
  <si>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</si>
  <si>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</si>
  <si>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</si>
  <si>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</si>
  <si>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</si>
  <si>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</si>
  <si>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</si>
  <si>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</si>
  <si>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family val="2"/>
        <scheme val="minor"/>
      </rPr>
      <t xml:space="preserve">Churn could be at 3 levels Customer, Product Group, Specific Product.
</t>
    </r>
    <r>
      <rPr>
        <b/>
        <sz val="11"/>
        <color rgb="FF000000"/>
        <rFont val="Aptos Narrow"/>
        <family val="2"/>
        <scheme val="minor"/>
      </rPr>
      <t xml:space="preserve">Specific Product
Option 1:
</t>
    </r>
    <r>
      <rPr>
        <sz val="11"/>
        <color rgb="FF000000"/>
        <rFont val="Aptos Narrow"/>
        <family val="2"/>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family val="2"/>
        <scheme val="minor"/>
      </rPr>
      <t xml:space="preserve">Product Family
</t>
    </r>
    <r>
      <rPr>
        <sz val="11"/>
        <color rgb="FF000000"/>
        <rFont val="Aptos Narrow"/>
        <family val="2"/>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family val="2"/>
        <scheme val="minor"/>
      </rPr>
      <t xml:space="preserve">Customer
</t>
    </r>
    <r>
      <rPr>
        <sz val="11"/>
        <color rgb="FF000000"/>
        <rFont val="Aptos Narrow"/>
        <family val="2"/>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</si>
  <si>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</si>
  <si>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</si>
  <si>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</si>
  <si>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</si>
  <si>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</si>
  <si>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</si>
  <si>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</si>
  <si>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</si>
  <si>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</si>
  <si>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</si>
  <si>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</si>
  <si>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</si>
  <si>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</si>
  <si>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</si>
  <si>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</si>
  <si>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</si>
  <si>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</si>
  <si>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</si>
  <si>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</si>
  <si>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</si>
  <si>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</si>
  <si>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</si>
  <si>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</si>
  <si>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</si>
  <si>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</si>
  <si>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</si>
  <si>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</si>
  <si>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</si>
  <si>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</si>
  <si>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</si>
  <si>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</si>
  <si>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</si>
  <si>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</si>
  <si>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</si>
  <si>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</si>
  <si>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</si>
  <si>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</si>
  <si>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</si>
  <si>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</si>
  <si>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</si>
  <si>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</si>
  <si>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</si>
  <si>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</si>
  <si>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</si>
  <si>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</si>
  <si>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</si>
  <si>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</si>
  <si>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</si>
  <si>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</si>
  <si>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</si>
  <si>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</si>
  <si>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</si>
  <si>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</si>
  <si>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</si>
  <si>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</si>
  <si>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</si>
  <si>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</si>
  <si>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</si>
  <si>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</si>
  <si>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</si>
  <si>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</si>
  <si>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</si>
  <si>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</si>
  <si>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</si>
  <si>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</si>
  <si>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</si>
  <si>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</si>
  <si>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</si>
  <si>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</si>
  <si>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</si>
  <si>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</si>
  <si>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</si>
  <si>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</si>
  <si>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</si>
  <si>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</si>
  <si>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</si>
  <si>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</si>
  <si>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</si>
  <si>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</si>
  <si>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</si>
  <si>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</si>
  <si>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</si>
  <si>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</si>
  <si>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</si>
  <si>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</si>
  <si>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</si>
  <si>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</si>
  <si>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</si>
  <si>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</si>
  <si>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</si>
  <si>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</si>
  <si>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</si>
  <si>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</si>
  <si>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</si>
  <si>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</si>
  <si>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</si>
  <si>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</si>
  <si>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</si>
  <si>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</si>
  <si>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</si>
  <si>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</si>
  <si>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</si>
  <si>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</si>
  <si>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</si>
  <si>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</si>
  <si>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</si>
  <si>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</si>
  <si>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</si>
  <si>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</si>
  <si>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</si>
  <si>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</si>
  <si>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</si>
  <si>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</si>
  <si>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</si>
  <si>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</si>
  <si>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</si>
  <si>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</si>
  <si>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</si>
  <si>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</si>
  <si>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</si>
  <si>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</si>
  <si>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</si>
  <si>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</si>
  <si>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</si>
  <si>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</si>
  <si>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</si>
  <si>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</si>
  <si>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</si>
  <si>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</si>
  <si>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</si>
  <si>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</si>
  <si>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</si>
  <si>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</si>
  <si>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</si>
  <si>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</si>
  <si>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</si>
  <si>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</si>
  <si>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</si>
  <si>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</si>
  <si>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</si>
  <si>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</si>
  <si>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</si>
  <si>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</si>
  <si>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</si>
  <si>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</si>
  <si>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ID</t>
  </si>
  <si>
    <t>Channel Name</t>
  </si>
  <si>
    <t>Group</t>
  </si>
  <si>
    <t>Identifiable method</t>
  </si>
  <si>
    <t>Type</t>
  </si>
  <si>
    <t>Comment</t>
  </si>
  <si>
    <t>Interaction Types</t>
  </si>
  <si>
    <t>POC</t>
  </si>
  <si>
    <t>Interaction Data Source</t>
  </si>
  <si>
    <t>GCP Data Availability</t>
  </si>
  <si>
    <t>Paid Digital Ads</t>
  </si>
  <si>
    <t>ATL</t>
  </si>
  <si>
    <t>IP Inferred</t>
  </si>
  <si>
    <t>Pull</t>
  </si>
  <si>
    <t>EssenceMediacom</t>
  </si>
  <si>
    <t>Data source unknown</t>
  </si>
  <si>
    <t>Content Syndication</t>
  </si>
  <si>
    <t>Audience Inferred</t>
  </si>
  <si>
    <t>Digital?</t>
  </si>
  <si>
    <t>Web</t>
  </si>
  <si>
    <t>IP Inferred or Better</t>
  </si>
  <si>
    <t>Adobe web/app visits</t>
  </si>
  <si>
    <t>Data sources are knows, exists partially in CCN</t>
  </si>
  <si>
    <t>Above the Line - Non Digital</t>
  </si>
  <si>
    <t>Physical</t>
  </si>
  <si>
    <t>Placeholder For multiple channels</t>
  </si>
  <si>
    <t>Social Posts</t>
  </si>
  <si>
    <t>Social Outbound Messages</t>
  </si>
  <si>
    <t>BTL</t>
  </si>
  <si>
    <t>Known Person</t>
  </si>
  <si>
    <t>Push</t>
  </si>
  <si>
    <t>Virtual Events</t>
  </si>
  <si>
    <t>Self Identified</t>
  </si>
  <si>
    <t>Events</t>
  </si>
  <si>
    <t>F2F Events</t>
  </si>
  <si>
    <t>Webinars</t>
  </si>
  <si>
    <t>Direct Mail</t>
  </si>
  <si>
    <t>Whatsapp</t>
  </si>
  <si>
    <t>RCS</t>
  </si>
  <si>
    <t>Email</t>
  </si>
  <si>
    <t>Marketo email activities</t>
  </si>
  <si>
    <t>Data sources are known, exists in GCP CCN</t>
  </si>
  <si>
    <t>SMS</t>
  </si>
  <si>
    <t>IMI</t>
  </si>
  <si>
    <t>Data does not exist in GCP</t>
  </si>
  <si>
    <t>MMS</t>
  </si>
  <si>
    <t>App Push Notification</t>
  </si>
  <si>
    <t>Telemarketing</t>
  </si>
  <si>
    <t>Conversation</t>
  </si>
  <si>
    <t>NRT</t>
  </si>
  <si>
    <t>Online Chat</t>
  </si>
  <si>
    <t>Self Identified / IP Inferred</t>
  </si>
  <si>
    <t>Sales Meetings</t>
  </si>
  <si>
    <t>Sales</t>
  </si>
  <si>
    <t>Sales Calls</t>
  </si>
  <si>
    <t>Sales Email</t>
  </si>
  <si>
    <t>Inbound Calls</t>
  </si>
  <si>
    <t>Interactsion Concatnated</t>
  </si>
  <si>
    <t>Column1</t>
  </si>
  <si>
    <t>Column2</t>
  </si>
  <si>
    <t>Column3</t>
  </si>
  <si>
    <t>Column4</t>
  </si>
  <si>
    <t>Column5</t>
  </si>
  <si>
    <t>Column6</t>
  </si>
  <si>
    <t>Column7</t>
  </si>
  <si>
    <t>Viewed</t>
  </si>
  <si>
    <t>Clicked</t>
  </si>
  <si>
    <t>Submit Form</t>
  </si>
  <si>
    <t>Page View</t>
  </si>
  <si>
    <t>Link Click</t>
  </si>
  <si>
    <t>Watch Video</t>
  </si>
  <si>
    <t>Download</t>
  </si>
  <si>
    <t>Live Chat?</t>
  </si>
  <si>
    <t>Responded</t>
  </si>
  <si>
    <t>Opt-Out</t>
  </si>
  <si>
    <t>Registered</t>
  </si>
  <si>
    <t>Attended</t>
  </si>
  <si>
    <t>View on Demand</t>
  </si>
  <si>
    <t>Sent</t>
  </si>
  <si>
    <t>Received</t>
  </si>
  <si>
    <t>Bounced</t>
  </si>
  <si>
    <t>Read</t>
  </si>
  <si>
    <t>Opened</t>
  </si>
  <si>
    <t>Responsed</t>
  </si>
  <si>
    <t>Invited</t>
  </si>
  <si>
    <t>Dialled</t>
  </si>
  <si>
    <t>Answered</t>
  </si>
  <si>
    <t>Engaged</t>
  </si>
  <si>
    <t>Called</t>
  </si>
  <si>
    <t>Attempted</t>
  </si>
  <si>
    <t>Conversed</t>
  </si>
  <si>
    <t>Initiated</t>
  </si>
  <si>
    <t>Disconnected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</si>
</sst>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809]* #,##0.00_-;\-[$£-809]* #,##0.00_-;_-[$£-809]* &quot;-&quot;??_-;_-@_-"/>
    <numFmt numFmtId="165" formatCode="[$-409]d\-mmm\-yyyy;@"/>
  </numFmts>
  <fonts count="25">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family val="2"/>
      <scheme val="minor"/>
    </font>
    <font>
      <b/>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family val="3"/>
    </font>
    <font>
      <sz val="11"/>
      <color rgb="FFFF0000"/>
      <name val="Aptos Narrow"/>
      <family val="2"/>
      <scheme val="minor"/>
    </font>
    <font>
      <sz val="11"/>
      <color rgb="FF9C0006"/>
      <name val="Aptos Narrow"/>
      <family val="2"/>
    </font>
    <font>
      <sz val="11"/>
      <color rgb="FF9C5700"/>
      <name val="Aptos Narrow"/>
      <family val="2"/>
    </font>
    <font>
      <sz val="11"/>
      <color rgb="FF006100"/>
      <name val="Aptos Narrow"/>
      <family val="2"/>
    </font>
  </fonts>
  <fills count="10">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FFC7CE"/>
        <bgColor rgb="FF000000"/>
      </patternFill>
    </fill>
    <fill>
      <patternFill patternType="solid">
        <fgColor rgb="FFFFEB9C"/>
        <bgColor rgb="FF000000"/>
      </patternFill>
    </fill>
    <fill>
      <patternFill patternType="solid">
        <fgColor rgb="FFC6EFCE"/>
        <bgColor rgb="FF000000"/>
      </patternFill>
    </fill>
    <fill>
      <patternFill patternType="solid">
        <fgColor theme="5" tint="0.79998168889431442"/>
        <bgColor indexed="64"/>
      </patternFill>
    </fill>
  </fills>
  <borders count="14">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bottom/>
      <diagonal/>
    </border>
    <border>
      <left style="thin">
        <color indexed="64"/>
      </left>
      <right/>
      <top/>
      <bottom style="thin">
        <color indexed="64"/>
      </bottom>
      <diagonal/>
    </border>
    <border>
      <left style="thin">
        <color indexed="64"/>
      </left>
      <right/>
      <top style="thin">
        <color theme="4" tint="0.39997558519241921"/>
      </top>
      <bottom style="thin">
        <color indexed="64"/>
      </bottom>
      <diagonal/>
    </border>
  </borders>
  <cellStyleXfs count="1">
    <xf numFmtId="0" fontId="0" fillId="0" borderId="0"/>
  </cellStyleXfs>
  <cellXfs count="56">
    <xf numFmtId="0" fontId="0" fillId="0" borderId="0" xfId="0"/>
    <xf numFmtId="0" fontId="0" fillId="0" borderId="0" xfId="0"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0" fillId="0" borderId="0" xfId="0" applyFont="1" applyAlignment="1">
      <alignment vertical="center"/>
    </xf>
    <xf numFmtId="0" fontId="12"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5" fillId="0" borderId="0" xfId="0" applyFont="1" applyAlignment="1">
      <alignment vertical="center" wrapText="1"/>
    </xf>
    <xf numFmtId="0" fontId="16" fillId="0" borderId="0" xfId="0" applyFont="1" applyAlignment="1">
      <alignment vertical="center"/>
    </xf>
    <xf numFmtId="0" fontId="0" fillId="0" borderId="0" xfId="0" applyAlignment="1">
      <alignment wrapText="1"/>
    </xf>
    <xf numFmtId="0" fontId="11"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3"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19"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20" fillId="0" borderId="0" xfId="0" applyFont="1" applyAlignment="1">
      <alignment wrapText="1" readingOrder="1"/>
    </xf>
    <xf numFmtId="0" fontId="0" fillId="0" borderId="6" xfId="0" applyBorder="1"/>
    <xf numFmtId="0" fontId="1" fillId="0" borderId="4" xfId="0" applyFont="1" applyBorder="1" applyAlignment="1">
      <alignment horizontal="center"/>
    </xf>
    <xf numFmtId="0" fontId="1" fillId="0" borderId="5" xfId="0" applyFont="1" applyBorder="1" applyAlignment="1">
      <alignment horizontal="center"/>
    </xf>
    <xf numFmtId="0" fontId="1" fillId="3" borderId="0" xfId="0" applyFont="1" applyFill="1"/>
    <xf numFmtId="0" fontId="1" fillId="0" borderId="7" xfId="0" applyFont="1"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0" borderId="8" xfId="0" applyFont="1" applyBorder="1"/>
    <xf numFmtId="0" fontId="0" fillId="0" borderId="13" xfId="0" applyBorder="1"/>
    <xf numFmtId="0" fontId="21" fillId="0" borderId="0" xfId="0" applyFont="1"/>
    <xf numFmtId="0" fontId="8" fillId="0" borderId="0" xfId="0" applyFont="1" applyAlignment="1">
      <alignment wrapText="1"/>
    </xf>
    <xf numFmtId="0" fontId="22" fillId="6" borderId="0" xfId="0" applyFont="1" applyFill="1"/>
    <xf numFmtId="0" fontId="23" fillId="7" borderId="0" xfId="0" applyFont="1" applyFill="1"/>
    <xf numFmtId="0" fontId="24" fillId="8" borderId="0" xfId="0" applyFont="1" applyFill="1"/>
    <xf numFmtId="14" fontId="0" fillId="0" borderId="0" xfId="0" applyNumberFormat="1"/>
    <xf numFmtId="0" fontId="1" fillId="0" borderId="0" xfId="0" applyFont="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8" fillId="9" borderId="0" xfId="0" applyFont="1" applyFill="1" applyAlignment="1">
      <alignment wrapText="1"/>
    </xf>
    <xf numFmtId="165" fontId="0" fillId="0" borderId="0" xfId="0" applyNumberFormat="1"/>
  </cellXfs>
  <cellStyles count="1">
    <cellStyle name="Normal" xfId="0" builtinId="0"/>
  </cellStyles>
  <dxfs count="13">
    <dxf>
      <border diagonalUp="0" diagonalDown="0">
        <left/>
        <right style="thin">
          <color indexed="64"/>
        </right>
        <top/>
        <bottom/>
        <vertical/>
        <horizontal/>
      </border>
    </dxf>
    <dxf>
      <border diagonalUp="0" diagonalDown="0">
        <left style="thin">
          <color rgb="FF000000"/>
        </left>
        <right style="thin">
          <color rgb="FF000000"/>
        </right>
        <top/>
        <bottom/>
        <vertical/>
        <horizontal/>
      </border>
    </dxf>
    <dxf>
      <border diagonalUp="0" diagonalDown="0">
        <left style="thin">
          <color indexed="64"/>
        </left>
        <right/>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
      <fill>
        <patternFill patternType="solid">
          <bgColor theme="6" tint="0.79998168889431442"/>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102053</xdr:colOff>
      <xdr:row>1</xdr:row>
      <xdr:rowOff>142874</xdr:rowOff>
    </xdr:from>
    <xdr:to>
      <xdr:col>16</xdr:col>
      <xdr:colOff>578304</xdr:colOff>
      <xdr:row>50</xdr:row>
      <xdr:rowOff>171451</xdr:rowOff>
    </xdr:to>
    <xdr:pic>
      <xdr:nvPicPr>
        <xdr:cNvPr id="3" name="Picture 2">
          <a:extLst>
            <a:ext uri="{FF2B5EF4-FFF2-40B4-BE49-F238E27FC236}">
              <a16:creationId xmlns:a16="http://schemas.microsoft.com/office/drawing/2014/main" id="{26BDBC03-D2CC-6C65-9D27-89898877B614}"/>
            </a:ext>
          </a:extLst>
        </xdr:cNvPr>
        <xdr:cNvPicPr>
          <a:picLocks noChangeAspect="1"/>
        </xdr:cNvPicPr>
      </xdr:nvPicPr>
      <xdr:blipFill>
        <a:blip xmlns:r="http://schemas.openxmlformats.org/officeDocument/2006/relationships" r:embed="rId1"/>
        <a:stretch>
          <a:fillRect/>
        </a:stretch>
      </xdr:blipFill>
      <xdr:spPr>
        <a:xfrm>
          <a:off x="748393" y="326571"/>
          <a:ext cx="10171340" cy="90297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Swati Jain (QMR C)" id="{C270D1E8-5592-4EB3-AC40-38DB4A883A37}" userId="S::swati.2.jain@bt.com::4744f5a6-bacd-48fd-8eb9-b4568a288a78" providerId="AD"/>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 displayName="David Irvine" id="{AAA37CC3-87B7-4864-8A18-DF0D77544CD8}" userId="S::dirvine_clever-touch.com#ext#@btgroupcloud.onmicrosoft.com::a67b146a-f9b4-4dff-8337-7550a46e0af2"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96020B2-92A8-4EA5-91A5-8AA3C83F36EA}" name="Table3" displayName="Table3" ref="A1:O22" totalsRowShown="0">
  <autoFilter ref="A1:O22" xr:uid="{796020B2-92A8-4EA5-91A5-8AA3C83F36EA}">
    <filterColumn colId="0">
      <filters>
        <filter val="Interactions"/>
      </filters>
    </filterColumn>
  </autoFilter>
  <tableColumns count="15">
    <tableColumn id="1" xr3:uid="{2D15C978-230E-4A7E-BF65-A8F9B5B0BB26}" name="Name" dataDxfId="12"/>
    <tableColumn id="2" xr3:uid="{3415CB41-1954-474C-9DE4-F2112710687F}" name="Generation Method"/>
    <tableColumn id="3" xr3:uid="{887FF9C2-4AB2-4063-A54F-11B44AA76969}" name="Description" dataDxfId="11"/>
    <tableColumn id="4" xr3:uid="{6EC50E02-A128-44E4-ACF0-8D5C8D188F56}" name="Purpose (Attribution)" dataDxfId="10"/>
    <tableColumn id="5" xr3:uid="{D283E03F-ABAB-44E7-9F5E-429B25455BD0}" name="*Purpose (Analytics)" dataDxfId="9"/>
    <tableColumn id="6" xr3:uid="{7274DBBC-78CF-4D6F-9B3F-11338CFC13EC}" name="Granularity" dataDxfId="8"/>
    <tableColumn id="7" xr3:uid="{4F1ACA9E-6C5C-4AE4-98B7-C58830CE4C61}" name="Field Count"/>
    <tableColumn id="8" xr3:uid="{B6740DAE-70D4-433C-B96F-B9261735F158}" name="generate?"/>
    <tableColumn id="9" xr3:uid="{7D2A4B4A-6D34-4FA9-9DFB-BE33968CE1FA}" name="generation_order"/>
    <tableColumn id="10" xr3:uid="{AC309397-6492-4F64-BFE0-BD50D2833501}" name="Generate_Rows"/>
    <tableColumn id="11" xr3:uid="{CC725491-CF55-403A-8435-ABFC99499828}" name="existing consumption project "/>
    <tableColumn id="12" xr3:uid="{9793B89B-7022-43AF-A17C-CB0E927F300B}" name="bps_roi_rw"/>
    <tableColumn id="13" xr3:uid="{7CEEE3B0-EC71-45FB-921C-385E525D7BF1}" name="extend the views/objects"/>
    <tableColumn id="14" xr3:uid="{FB234204-8FA8-4745-9111-FF521BE0D28C}" name="Phase"/>
    <tableColumn id="15" xr3:uid="{0665334F-F172-4EB7-9ED4-189997FF0A60}" name="Ord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N237" totalsRowShown="0">
  <autoFilter ref="A1:N237" xr:uid="{D396AB2F-F9BE-4F78-8BC5-51EC98BD60B1}">
    <filterColumn colId="0">
      <filters>
        <filter val="Attribution Linking Table"/>
        <filter val="Channels"/>
      </filters>
    </filterColumn>
  </autoFilter>
  <tableColumns count="14">
    <tableColumn id="1" xr3:uid="{FA10E4DE-EA14-4D6D-B2DE-B36300D4BF76}" name="Object" dataDxfId="6"/>
    <tableColumn id="2" xr3:uid="{32E1B4A0-4AC4-478E-B858-9CDAC148562B}" name="Name"/>
    <tableColumn id="3" xr3:uid="{85FF24E0-DD58-4F79-B3D0-388BE33FFF38}" name="Description" dataDxfId="5"/>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4"/>
    <tableColumn id="8" xr3:uid="{6F705DBE-267C-4645-8C93-CB99BEC6A154}" name="Tokenised"/>
    <tableColumn id="9" xr3:uid="{193B0F12-7095-425B-833D-884F117D2CC8}" name="Tokenised Reason"/>
    <tableColumn id="10" xr3:uid="{D6E8B652-AD77-4FB5-BD6A-F4C444E11ED9}" name="Required for POC?"/>
    <tableColumn id="13" xr3:uid="{4D150CCC-6D78-4641-88B9-0DBE8AD8111D}" name="Requiered for MVP?"/>
    <tableColumn id="11" xr3:uid="{F613005B-A04F-4902-B2B7-8925BB2C3BEE}" name="Available in Core_Orders?"/>
    <tableColumn id="12" xr3:uid="{E100546D-F104-4733-B3F7-4D696AC51EC4}" name="Last Changed Date"/>
    <tableColumn id="14" xr3:uid="{31113812-DCE1-4BBC-8F46-A9EC0ED024D2}" name="Change Descrip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96477C-ECA9-4EBE-A35F-BB664900AC81}" name="Table2" displayName="Table2" ref="A1:J23" totalsRowShown="0" headerRowDxfId="3">
  <autoFilter ref="A1:J23" xr:uid="{6D96477C-ECA9-4EBE-A35F-BB664900AC81}">
    <filterColumn colId="0">
      <filters>
        <filter val="Inbound Calls"/>
      </filters>
    </filterColumn>
  </autoFilter>
  <tableColumns count="10">
    <tableColumn id="1" xr3:uid="{EACA768A-938B-44E7-89E1-1321528ABE92}" name="Channel Name" dataDxfId="2"/>
    <tableColumn id="2" xr3:uid="{C41B0F01-37EC-4C6A-ABBC-015577D1F75A}" name="Interactsion Concatnated" dataDxfId="1">
      <calculatedColumnFormula>_xlfn.TEXTJOIN(";",TRUE,C2:I2)</calculatedColumnFormula>
    </tableColumn>
    <tableColumn id="3" xr3:uid="{329D1A88-3265-4F13-8A3B-7827457D6F32}" name="Interactions"/>
    <tableColumn id="4" xr3:uid="{1A3012FB-7917-49D1-90EF-600C1CB8AF3D}" name="Column1"/>
    <tableColumn id="5" xr3:uid="{B6D0889D-ECB5-4551-81F5-F8F0CA2C7966}" name="Column2"/>
    <tableColumn id="6" xr3:uid="{14E78471-B42C-46A7-BD1C-9D7851118FD7}" name="Column3"/>
    <tableColumn id="7" xr3:uid="{CA5A524F-838E-43AD-9CF2-84DFE3771ACC}" name="Column4"/>
    <tableColumn id="8" xr3:uid="{E6176540-475B-4EEA-94F4-70616D68E722}" name="Column5"/>
    <tableColumn id="9" xr3:uid="{CC2AC228-2DF6-4FF9-8A82-C7A0F3A6F6DD}" name="Column6" dataDxfId="0"/>
    <tableColumn id="10" xr3:uid="{2A4CC5FF-AB1D-442B-92F9-F5CF06779A32}" name="Column7">
      <calculatedColumnFormula>_xlfn.XLOOKUP(A2,Channels!B:B,Channels!B:B,"MISSING",0,1)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2"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3"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3" dT="2025-03-07T22:33:19.75" personId="{B662DE40-7D09-46E5-994D-04657B702874}" id="{8926F950-B59C-445B-88C8-B788066D21F2}" parentId="{0274946B-05FE-4A74-940A-A8DC46B315F1}">
    <text>See Example Values</text>
  </threadedComment>
  <threadedComment ref="C49"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49"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56"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57"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117"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117" dT="2025-03-07T22:24:32.38" personId="{B662DE40-7D09-46E5-994D-04657B702874}" id="{3477900C-1235-4AD9-B6B9-B36EBE216470}" parentId="{8497C7DA-1239-4373-88D7-CCD3FD1374B1}">
    <text>See comment on product family</text>
  </threadedComment>
  <threadedComment ref="L140" dT="2025-09-19T11:34:18.54" personId="{C270D1E8-5592-4EB3-AC40-38DB4A883A37}" id="{E6C090DE-4499-4707-85E3-463C002A1496}">
    <text>In discussion it was told values to be Provide, Resign and Churn, but example values show Provide, Mixed, Cease so not clear which set is needed</text>
  </threadedComment>
  <threadedComment ref="L140" dT="2025-09-19T18:57:21.78" personId="{AAA37CC3-87B7-4864-8A18-DF0D77544CD8}" id="{FA5EE541-C661-495B-BE31-F48EEE68F296}" parentId="{E6C090DE-4499-4707-85E3-463C002A1496}">
    <text>If the field you are looking at contains values of Mixed then we need a different field. For each Item we should know if its a provide or a cease. Perhaps we need to look at the order item action type</text>
  </threadedComment>
  <threadedComment ref="L141" dT="2025-09-19T11:04:18.75" personId="{C270D1E8-5592-4EB3-AC40-38DB4A883A37}" id="{1BBB7B82-CD99-47EB-BFCC-971EC85BD5F2}">
    <text xml:space="preserve">Sales channel values are
   Indirect Partner Sales
NI
Bus Sales New
CPS
Other
Bus Sales
Global Services
BTLB - London
Digital
EE Online
SME DESK Online
SME Field
BTBus Online
Retail
EE
Desk Other
BTLB - Other
Outbound
BTLB - SALESLAB
EE Inbound
Glasgow SME Outbound
Retention
SME DESK
BTLB - South
Voice Inbound
BTLB - North
BTLB - Central
Outbound Voice
Glasgow SoHo Outbound
Enterprise Service
BTLB - West
Enterprise Sales Enablement
Other_SC
BTLB
EE Major Public Sector
SME Mid-Market
</text>
  </threadedComment>
  <threadedComment ref="L141" dT="2025-09-19T19:00:55.33" personId="{AAA37CC3-87B7-4864-8A18-DF0D77544CD8}" id="{7D4C4A4C-AA3A-4AA7-94DC-E1A87C259EB4}" parentId="{1BBB7B82-CD99-47EB-BFCC-971EC85BD5F2}">
    <text>It may be then we need a higher level field that categories these, I.E. BTLB's Desk,...</text>
  </threadedComment>
  <threadedComment ref="L143" dT="2025-09-19T11:11:15.92" personId="{C270D1E8-5592-4EB3-AC40-38DB4A883A37}" id="{5334DB75-EB91-4C77-B14B-4E2E257AAAA3}">
    <text xml:space="preserve">Not directly available, it can be combination of Order status and order status date, need to understand from order table SME
</text>
  </threadedComment>
  <threadedComment ref="L156" dT="2025-09-19T11:11:15.92" personId="{C270D1E8-5592-4EB3-AC40-38DB4A883A37}" id="{A21A424B-EA20-47AA-86B5-696100E6F35A}">
    <text xml:space="preserve">Not directly available, it can be combination of Order status and order status date, need to understand from order table SME
</text>
  </threadedComment>
  <threadedComment ref="L161" dT="2025-09-19T11:11:15.92" personId="{C270D1E8-5592-4EB3-AC40-38DB4A883A37}" id="{F0D8DAE0-146C-4F64-BDFC-08EEA662B13C}">
    <text xml:space="preserve">Not directly available, it can be combination of Order status and order status date, need to understand from order table SME
</text>
  </threadedComment>
  <threadedComment ref="L162" dT="2025-09-19T11:19:11.63" personId="{C270D1E8-5592-4EB3-AC40-38DB4A883A37}" id="{54B0C543-2BBB-4A1C-BE36-C8332C8DA97B}">
    <text xml:space="preserve">In core order SOV is recurring charge and one off is a separate column, we migh need to align ROI order in same format.
</text>
  </threadedComment>
  <threadedComment ref="L162" dT="2025-09-19T19:01:48.79" personId="{AAA37CC3-87B7-4864-8A18-DF0D77544CD8}" id="{B95EB164-AE70-4D62-80A0-65308B7DF085}" parentId="{54B0C543-2BBB-4A1C-BE36-C8332C8DA97B}">
    <text>Yes Agreed we can change structure to align.</text>
  </threadedComment>
  <threadedComment ref="L164" dT="2025-09-19T11:31:56.25" personId="{C270D1E8-5592-4EB3-AC40-38DB4A883A37}" id="{3F3B93DB-884E-4D03-90A3-44794742F778}">
    <text>Could be combination of 2 fields CEASE_REASON_GROUP and CEASE_REASON_SUB_GROUP values are
Process	
Migration	Internal
Insolvency	Compulsory
Insolvency	Bad Debt
Insolvency	Downsizing
Migration	Corporate
Competitor	Three
Competitor	O2
Fraud	Fraud
Competitor	Other
Migration	EE
14dmb	14dmb
Migration	BT Business
Competitor	Vodafone
Insolvency	Voluntary
Competitor	o2
Migration	BT One Phone
Migration	
Migration	BT Consumer
Competitor	Sky
Process	Other</text>
  </threadedComment>
  <threadedComment ref="L164" dT="2025-09-19T19:02:04.05" personId="{AAA37CC3-87B7-4864-8A18-DF0D77544CD8}" id="{67914915-9A7D-4AC7-97B7-2DC9A40F22FD}" parentId="{3F3B93DB-884E-4D03-90A3-44794742F778}">
    <text>Just have 2 seperate fields</text>
  </threadedComment>
  <threadedComment ref="L168" dT="2025-09-19T11:33:10.48" personId="{C270D1E8-5592-4EB3-AC40-38DB4A883A37}" id="{B067FDC9-DF9D-4CAA-8A5C-8BB4B5C5C9E7}">
    <text xml:space="preserve">Order_item_num row is getting repeated, need to understand from core order SME the view structure.
</text>
  </threadedComment>
  <threadedComment ref="L168" dT="2025-09-19T19:02:14.49" personId="{AAA37CC3-87B7-4864-8A18-DF0D77544CD8}" id="{73642023-CD3C-4AE5-AC60-B4738A2FDCA2}" parentId="{B067FDC9-DF9D-4CAA-8A5C-8BB4B5C5C9E7}">
    <text xml:space="preserve">Let us know what you find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O22"/>
  <sheetViews>
    <sheetView zoomScale="115" zoomScaleNormal="100" workbookViewId="0">
      <pane xSplit="1" ySplit="1" topLeftCell="E8" activePane="bottomRight" state="frozen"/>
      <selection pane="bottomRight" activeCell="H8" sqref="H8"/>
      <selection pane="bottomLeft"/>
      <selection pane="topRight"/>
    </sheetView>
  </sheetViews>
  <sheetFormatPr defaultRowHeight="14.45"/>
  <cols>
    <col min="1" max="1" width="36.140625" bestFit="1" customWidth="1"/>
    <col min="2" max="2" width="34.42578125" bestFit="1" customWidth="1"/>
    <col min="3" max="3" width="71.5703125" style="15" customWidth="1"/>
    <col min="4" max="4" width="49.5703125" style="15" bestFit="1" customWidth="1"/>
    <col min="5" max="5" width="37.140625" style="15" customWidth="1"/>
    <col min="6" max="6" width="158.42578125" style="15" customWidth="1"/>
    <col min="7" max="7" width="13.5703125" bestFit="1" customWidth="1"/>
    <col min="8" max="8" width="12.28515625" bestFit="1" customWidth="1"/>
    <col min="9" max="9" width="18.7109375" bestFit="1" customWidth="1"/>
    <col min="10" max="10" width="17.42578125" bestFit="1" customWidth="1"/>
    <col min="11" max="11" width="30.140625" bestFit="1" customWidth="1"/>
    <col min="12" max="12" width="31.85546875" customWidth="1"/>
    <col min="13" max="13" width="26" bestFit="1" customWidth="1"/>
    <col min="14" max="14" width="19.42578125" bestFit="1" customWidth="1"/>
  </cols>
  <sheetData>
    <row r="1" spans="1:15">
      <c r="A1" s="6" t="s">
        <v>0</v>
      </c>
      <c r="B1" s="6" t="s">
        <v>1</v>
      </c>
      <c r="C1" s="12" t="s">
        <v>2</v>
      </c>
      <c r="D1" s="12" t="s">
        <v>3</v>
      </c>
      <c r="E1" s="12" t="s">
        <v>4</v>
      </c>
      <c r="F1" s="12" t="s">
        <v>5</v>
      </c>
      <c r="G1" s="6" t="s">
        <v>6</v>
      </c>
      <c r="H1" t="s">
        <v>7</v>
      </c>
      <c r="I1" t="s">
        <v>8</v>
      </c>
      <c r="J1" t="s">
        <v>9</v>
      </c>
      <c r="K1" s="2" t="s">
        <v>10</v>
      </c>
      <c r="L1" s="2" t="s">
        <v>11</v>
      </c>
      <c r="M1" t="s">
        <v>12</v>
      </c>
      <c r="N1" t="s">
        <v>13</v>
      </c>
      <c r="O1" t="s">
        <v>14</v>
      </c>
    </row>
    <row r="2" spans="1:15" ht="72" hidden="1">
      <c r="A2" s="29" t="s">
        <v>15</v>
      </c>
      <c r="B2" s="29" t="s">
        <v>16</v>
      </c>
      <c r="C2" s="1" t="s">
        <v>17</v>
      </c>
      <c r="D2" s="1" t="s">
        <v>18</v>
      </c>
      <c r="E2" s="1" t="s">
        <v>19</v>
      </c>
      <c r="F2" s="4" t="s">
        <v>20</v>
      </c>
      <c r="G2">
        <f>COUNTIF(Attributes!A:A,objects!A2)</f>
        <v>21</v>
      </c>
      <c r="H2" t="s">
        <v>21</v>
      </c>
      <c r="I2">
        <v>1</v>
      </c>
      <c r="J2">
        <v>30</v>
      </c>
      <c r="L2" s="2" t="s">
        <v>22</v>
      </c>
      <c r="N2" t="s">
        <v>23</v>
      </c>
    </row>
    <row r="3" spans="1:15" ht="72" hidden="1">
      <c r="A3" s="30" t="s">
        <v>24</v>
      </c>
      <c r="B3" s="30" t="s">
        <v>25</v>
      </c>
      <c r="C3" s="1" t="s">
        <v>26</v>
      </c>
      <c r="D3" s="1" t="s">
        <v>27</v>
      </c>
      <c r="E3" s="1" t="s">
        <v>28</v>
      </c>
      <c r="F3" s="1" t="s">
        <v>29</v>
      </c>
      <c r="G3">
        <f>COUNTIF(Attributes!A:A,objects!A3)</f>
        <v>5</v>
      </c>
      <c r="H3" t="s">
        <v>30</v>
      </c>
      <c r="I3">
        <v>2</v>
      </c>
      <c r="J3">
        <v>10</v>
      </c>
      <c r="N3" t="s">
        <v>23</v>
      </c>
    </row>
    <row r="4" spans="1:15" ht="72" hidden="1">
      <c r="A4" s="30" t="s">
        <v>31</v>
      </c>
      <c r="B4" s="30" t="s">
        <v>25</v>
      </c>
      <c r="C4" s="1" t="s">
        <v>32</v>
      </c>
      <c r="D4" s="1" t="s">
        <v>33</v>
      </c>
      <c r="E4" s="1" t="s">
        <v>34</v>
      </c>
      <c r="F4" s="1" t="s">
        <v>35</v>
      </c>
      <c r="G4">
        <f>COUNTIF(Attributes!A:A,objects!A4)</f>
        <v>4</v>
      </c>
      <c r="H4" t="s">
        <v>30</v>
      </c>
      <c r="I4">
        <v>3</v>
      </c>
      <c r="J4">
        <v>7</v>
      </c>
    </row>
    <row r="5" spans="1:15" ht="57.6" hidden="1">
      <c r="A5" s="8" t="s">
        <v>36</v>
      </c>
      <c r="B5" s="8" t="s">
        <v>16</v>
      </c>
      <c r="C5" s="1" t="s">
        <v>37</v>
      </c>
      <c r="D5" s="1" t="s">
        <v>27</v>
      </c>
      <c r="E5" s="1" t="s">
        <v>38</v>
      </c>
      <c r="F5" s="1" t="s">
        <v>39</v>
      </c>
      <c r="G5">
        <f>COUNTIF(Attributes!A:A,objects!A5)</f>
        <v>9</v>
      </c>
      <c r="H5" t="s">
        <v>30</v>
      </c>
      <c r="I5">
        <v>4</v>
      </c>
      <c r="J5">
        <v>300</v>
      </c>
      <c r="N5" t="s">
        <v>23</v>
      </c>
    </row>
    <row r="6" spans="1:15" ht="43.15" hidden="1">
      <c r="A6" s="6" t="s">
        <v>40</v>
      </c>
      <c r="B6" s="6" t="s">
        <v>16</v>
      </c>
      <c r="C6" s="1" t="s">
        <v>41</v>
      </c>
      <c r="D6" s="1" t="s">
        <v>42</v>
      </c>
      <c r="E6" s="1" t="s">
        <v>43</v>
      </c>
      <c r="F6" s="1" t="s">
        <v>44</v>
      </c>
      <c r="G6">
        <f>COUNTIF(Attributes!A:A,objects!A6)</f>
        <v>8</v>
      </c>
      <c r="H6" t="s">
        <v>30</v>
      </c>
      <c r="I6">
        <v>5</v>
      </c>
      <c r="J6">
        <v>100</v>
      </c>
    </row>
    <row r="7" spans="1:15" ht="100.9" hidden="1">
      <c r="A7" s="29" t="s">
        <v>45</v>
      </c>
      <c r="B7" s="6" t="s">
        <v>16</v>
      </c>
      <c r="C7" s="1" t="s">
        <v>46</v>
      </c>
      <c r="D7" s="1" t="s">
        <v>47</v>
      </c>
      <c r="E7" s="1" t="s">
        <v>48</v>
      </c>
      <c r="F7" s="4" t="s">
        <v>49</v>
      </c>
      <c r="G7">
        <f>COUNTIF(Attributes!A:A,objects!A7)</f>
        <v>17</v>
      </c>
      <c r="H7" t="s">
        <v>21</v>
      </c>
      <c r="I7">
        <v>15</v>
      </c>
      <c r="J7">
        <v>100000</v>
      </c>
      <c r="N7" t="s">
        <v>50</v>
      </c>
      <c r="O7">
        <v>2</v>
      </c>
    </row>
    <row r="8" spans="1:15" ht="72">
      <c r="A8" s="29" t="s">
        <v>51</v>
      </c>
      <c r="B8" s="6" t="s">
        <v>16</v>
      </c>
      <c r="C8" s="1" t="s">
        <v>52</v>
      </c>
      <c r="D8" s="1" t="s">
        <v>53</v>
      </c>
      <c r="E8" s="1" t="s">
        <v>54</v>
      </c>
      <c r="F8" s="1" t="s">
        <v>55</v>
      </c>
      <c r="G8">
        <f>COUNTIF(Attributes!A:A,objects!A8)</f>
        <v>13</v>
      </c>
      <c r="H8" t="s">
        <v>21</v>
      </c>
      <c r="I8">
        <v>17</v>
      </c>
      <c r="J8">
        <v>5000000</v>
      </c>
      <c r="N8" t="s">
        <v>50</v>
      </c>
      <c r="O8">
        <v>1</v>
      </c>
    </row>
    <row r="9" spans="1:15" hidden="1">
      <c r="A9" s="6" t="s">
        <v>56</v>
      </c>
      <c r="B9" s="6" t="s">
        <v>57</v>
      </c>
      <c r="C9" s="1" t="s">
        <v>58</v>
      </c>
      <c r="D9" s="1" t="s">
        <v>59</v>
      </c>
      <c r="E9" s="1" t="s">
        <v>60</v>
      </c>
      <c r="F9" s="1" t="s">
        <v>61</v>
      </c>
      <c r="G9">
        <f>COUNTIF(Attributes!A:A,objects!A9)</f>
        <v>13</v>
      </c>
      <c r="H9" t="s">
        <v>30</v>
      </c>
      <c r="I9">
        <v>18</v>
      </c>
      <c r="J9" t="s">
        <v>62</v>
      </c>
      <c r="N9" t="s">
        <v>50</v>
      </c>
      <c r="O9">
        <v>5</v>
      </c>
    </row>
    <row r="10" spans="1:15" ht="57.6" hidden="1">
      <c r="A10" s="29" t="s">
        <v>63</v>
      </c>
      <c r="B10" s="6" t="s">
        <v>16</v>
      </c>
      <c r="C10" s="1" t="s">
        <v>64</v>
      </c>
      <c r="D10" s="1" t="s">
        <v>65</v>
      </c>
      <c r="E10" s="1" t="s">
        <v>66</v>
      </c>
      <c r="F10" s="1" t="s">
        <v>67</v>
      </c>
      <c r="G10">
        <f>COUNTIF(Attributes!A:A,objects!A10)</f>
        <v>7</v>
      </c>
      <c r="H10" t="s">
        <v>21</v>
      </c>
      <c r="I10">
        <v>7</v>
      </c>
      <c r="J10">
        <v>500000</v>
      </c>
      <c r="N10" t="s">
        <v>50</v>
      </c>
      <c r="O10">
        <v>4</v>
      </c>
    </row>
    <row r="11" spans="1:15" ht="86.45" hidden="1">
      <c r="A11" s="29" t="s">
        <v>68</v>
      </c>
      <c r="B11" s="6" t="s">
        <v>16</v>
      </c>
      <c r="C11" s="1" t="s">
        <v>69</v>
      </c>
      <c r="D11" s="1" t="s">
        <v>70</v>
      </c>
      <c r="E11" s="1" t="s">
        <v>71</v>
      </c>
      <c r="F11" s="1" t="s">
        <v>72</v>
      </c>
      <c r="G11">
        <f>COUNTIF(Attributes!A:A,objects!A11)</f>
        <v>50</v>
      </c>
      <c r="H11" t="s">
        <v>21</v>
      </c>
      <c r="I11">
        <v>6</v>
      </c>
      <c r="J11">
        <v>300000</v>
      </c>
      <c r="N11" t="s">
        <v>50</v>
      </c>
      <c r="O11">
        <v>4</v>
      </c>
    </row>
    <row r="12" spans="1:15" ht="43.15" hidden="1">
      <c r="A12" s="31" t="s">
        <v>73</v>
      </c>
      <c r="B12" s="6" t="s">
        <v>16</v>
      </c>
      <c r="C12" s="1" t="s">
        <v>74</v>
      </c>
      <c r="D12" s="1" t="s">
        <v>75</v>
      </c>
      <c r="E12" s="1" t="s">
        <v>76</v>
      </c>
      <c r="F12" s="1" t="s">
        <v>77</v>
      </c>
      <c r="G12">
        <f>COUNTIF(Attributes!A:A,objects!A12)</f>
        <v>5</v>
      </c>
      <c r="H12" t="s">
        <v>78</v>
      </c>
      <c r="I12">
        <v>8</v>
      </c>
      <c r="J12" t="s">
        <v>62</v>
      </c>
      <c r="O12">
        <v>4</v>
      </c>
    </row>
    <row r="13" spans="1:15" ht="43.15" hidden="1">
      <c r="A13" s="29" t="s">
        <v>79</v>
      </c>
      <c r="B13" s="6" t="s">
        <v>16</v>
      </c>
      <c r="C13" s="1" t="s">
        <v>80</v>
      </c>
      <c r="D13" s="1" t="s">
        <v>81</v>
      </c>
      <c r="E13" s="1" t="s">
        <v>82</v>
      </c>
      <c r="F13" s="1" t="s">
        <v>83</v>
      </c>
      <c r="G13">
        <f>COUNTIF(Attributes!A:A,objects!A13)</f>
        <v>33</v>
      </c>
      <c r="H13" t="s">
        <v>21</v>
      </c>
      <c r="I13">
        <v>9</v>
      </c>
      <c r="J13">
        <v>700000</v>
      </c>
      <c r="N13" t="s">
        <v>50</v>
      </c>
      <c r="O13">
        <v>3</v>
      </c>
    </row>
    <row r="14" spans="1:15" ht="100.9" hidden="1">
      <c r="A14" s="29" t="s">
        <v>84</v>
      </c>
      <c r="B14" s="6" t="s">
        <v>16</v>
      </c>
      <c r="C14" s="1" t="s">
        <v>85</v>
      </c>
      <c r="D14" s="1" t="s">
        <v>81</v>
      </c>
      <c r="E14" s="1" t="s">
        <v>82</v>
      </c>
      <c r="F14" s="1" t="s">
        <v>86</v>
      </c>
      <c r="G14">
        <f>COUNTIF(Attributes!A:A,objects!A14)</f>
        <v>16</v>
      </c>
      <c r="H14" t="s">
        <v>87</v>
      </c>
      <c r="I14">
        <v>10</v>
      </c>
      <c r="N14" t="s">
        <v>23</v>
      </c>
    </row>
    <row r="15" spans="1:15" ht="57.6" hidden="1">
      <c r="A15" s="6" t="s">
        <v>88</v>
      </c>
      <c r="B15" s="6" t="s">
        <v>89</v>
      </c>
      <c r="C15" s="1" t="s">
        <v>90</v>
      </c>
      <c r="D15" s="1" t="s">
        <v>81</v>
      </c>
      <c r="E15" s="1" t="s">
        <v>82</v>
      </c>
      <c r="F15" s="1" t="s">
        <v>91</v>
      </c>
      <c r="G15">
        <f>COUNTIF(Attributes!A:A,objects!A15)</f>
        <v>0</v>
      </c>
      <c r="H15" t="s">
        <v>87</v>
      </c>
      <c r="I15">
        <v>11</v>
      </c>
      <c r="N15" t="s">
        <v>92</v>
      </c>
    </row>
    <row r="16" spans="1:15" ht="43.15" hidden="1">
      <c r="A16" s="6" t="s">
        <v>93</v>
      </c>
      <c r="B16" s="6" t="s">
        <v>89</v>
      </c>
      <c r="C16" s="1" t="s">
        <v>94</v>
      </c>
      <c r="D16" s="1" t="s">
        <v>81</v>
      </c>
      <c r="E16" s="1" t="s">
        <v>82</v>
      </c>
      <c r="F16" s="1" t="s">
        <v>95</v>
      </c>
      <c r="G16">
        <f>COUNTIF(Attributes!A:A,objects!A16)</f>
        <v>0</v>
      </c>
      <c r="H16" t="s">
        <v>87</v>
      </c>
      <c r="I16">
        <v>12</v>
      </c>
      <c r="N16" t="s">
        <v>92</v>
      </c>
    </row>
    <row r="17" spans="1:15" ht="57.6" hidden="1">
      <c r="A17" s="2" t="s">
        <v>96</v>
      </c>
      <c r="B17" s="2" t="s">
        <v>97</v>
      </c>
      <c r="C17" s="4" t="s">
        <v>98</v>
      </c>
      <c r="D17" s="4" t="s">
        <v>99</v>
      </c>
      <c r="E17" s="4" t="s">
        <v>100</v>
      </c>
      <c r="F17" s="5" t="s">
        <v>101</v>
      </c>
      <c r="G17">
        <f>COUNTIF(Attributes!A:A,objects!A17)</f>
        <v>4</v>
      </c>
      <c r="H17" t="s">
        <v>30</v>
      </c>
      <c r="I17">
        <v>19</v>
      </c>
      <c r="J17" t="s">
        <v>62</v>
      </c>
      <c r="N17" t="s">
        <v>50</v>
      </c>
      <c r="O17">
        <v>7</v>
      </c>
    </row>
    <row r="18" spans="1:15" ht="57.6" hidden="1">
      <c r="A18" s="2" t="s">
        <v>102</v>
      </c>
      <c r="B18" s="2" t="s">
        <v>97</v>
      </c>
      <c r="C18" s="4" t="s">
        <v>103</v>
      </c>
      <c r="D18" s="4" t="s">
        <v>104</v>
      </c>
      <c r="E18" s="4" t="s">
        <v>105</v>
      </c>
      <c r="F18" s="4" t="s">
        <v>106</v>
      </c>
      <c r="G18">
        <f>COUNTIF(Attributes!A:A,objects!A18)</f>
        <v>0</v>
      </c>
      <c r="H18" t="s">
        <v>30</v>
      </c>
      <c r="I18">
        <v>13</v>
      </c>
      <c r="J18">
        <v>1</v>
      </c>
      <c r="N18" t="s">
        <v>23</v>
      </c>
    </row>
    <row r="19" spans="1:15" ht="54.75" hidden="1" customHeight="1">
      <c r="A19" s="2" t="s">
        <v>107</v>
      </c>
      <c r="B19" t="s">
        <v>16</v>
      </c>
      <c r="C19" s="15" t="s">
        <v>108</v>
      </c>
      <c r="D19" s="15" t="s">
        <v>109</v>
      </c>
      <c r="E19" s="15" t="s">
        <v>110</v>
      </c>
      <c r="F19" s="15" t="s">
        <v>111</v>
      </c>
      <c r="G19">
        <f>COUNTIF(Attributes!A:A,objects!A19)</f>
        <v>8</v>
      </c>
      <c r="H19" t="s">
        <v>30</v>
      </c>
      <c r="I19">
        <v>0</v>
      </c>
      <c r="N19" t="s">
        <v>50</v>
      </c>
      <c r="O19">
        <v>6</v>
      </c>
    </row>
    <row r="20" spans="1:15" ht="28.9" hidden="1">
      <c r="A20" s="2" t="s">
        <v>112</v>
      </c>
      <c r="B20" t="s">
        <v>57</v>
      </c>
      <c r="C20" s="15" t="s">
        <v>113</v>
      </c>
      <c r="D20" s="15" t="s">
        <v>114</v>
      </c>
      <c r="E20" s="15" t="s">
        <v>115</v>
      </c>
      <c r="F20" s="15" t="s">
        <v>116</v>
      </c>
      <c r="G20">
        <f>COUNTIF(Attributes!A:A,objects!A20)</f>
        <v>7</v>
      </c>
      <c r="H20" t="s">
        <v>30</v>
      </c>
      <c r="I20">
        <v>0</v>
      </c>
      <c r="N20" t="s">
        <v>23</v>
      </c>
    </row>
    <row r="21" spans="1:15" ht="43.15" hidden="1">
      <c r="A21" s="2" t="s">
        <v>117</v>
      </c>
      <c r="B21" t="s">
        <v>57</v>
      </c>
      <c r="C21" s="15" t="s">
        <v>118</v>
      </c>
      <c r="D21" s="15" t="s">
        <v>119</v>
      </c>
      <c r="E21" s="15" t="s">
        <v>120</v>
      </c>
      <c r="G21">
        <f>COUNTIF(Attributes!A:A,objects!A21)</f>
        <v>0</v>
      </c>
      <c r="H21" t="s">
        <v>87</v>
      </c>
      <c r="N21" t="s">
        <v>23</v>
      </c>
    </row>
    <row r="22" spans="1:15" ht="28.9" hidden="1">
      <c r="A22" s="2" t="s">
        <v>121</v>
      </c>
      <c r="B22" t="s">
        <v>16</v>
      </c>
      <c r="C22" s="15" t="s">
        <v>122</v>
      </c>
      <c r="D22" s="15" t="s">
        <v>123</v>
      </c>
      <c r="E22" s="15" t="s">
        <v>124</v>
      </c>
      <c r="F22" s="15" t="s">
        <v>125</v>
      </c>
      <c r="G22">
        <f>COUNTIF(Attributes!A:A,objects!A22)</f>
        <v>8</v>
      </c>
      <c r="H22" t="s">
        <v>87</v>
      </c>
      <c r="N22" t="s">
        <v>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N238"/>
  <sheetViews>
    <sheetView tabSelected="1" zoomScale="99" zoomScaleNormal="115" workbookViewId="0">
      <pane xSplit="2" topLeftCell="I9" activePane="topRight" state="frozen"/>
      <selection pane="topRight" activeCell="B198" sqref="B198"/>
      <selection activeCell="A2" sqref="A2"/>
    </sheetView>
  </sheetViews>
  <sheetFormatPr defaultRowHeight="14.45"/>
  <cols>
    <col min="1" max="1" width="29.140625" customWidth="1"/>
    <col min="2" max="2" width="33.140625" customWidth="1"/>
    <col min="3" max="3" width="118.5703125" style="52" customWidth="1"/>
    <col min="4" max="4" width="36.5703125" bestFit="1" customWidth="1"/>
    <col min="5" max="5" width="46.85546875" bestFit="1" customWidth="1"/>
    <col min="6" max="6" width="30.7109375" customWidth="1"/>
    <col min="7" max="7" width="83.42578125" style="15" customWidth="1"/>
    <col min="8" max="8" width="12.42578125" bestFit="1" customWidth="1"/>
    <col min="9" max="9" width="19.7109375" bestFit="1" customWidth="1"/>
    <col min="10" max="11" width="20.7109375" customWidth="1"/>
    <col min="12" max="12" width="20.28515625" customWidth="1"/>
    <col min="13" max="13" width="22.5703125" style="55" bestFit="1" customWidth="1"/>
    <col min="14" max="14" width="34.7109375" style="15" customWidth="1"/>
  </cols>
  <sheetData>
    <row r="1" spans="1:14">
      <c r="A1" s="2" t="s">
        <v>126</v>
      </c>
      <c r="B1" s="2" t="s">
        <v>0</v>
      </c>
      <c r="C1" s="51" t="s">
        <v>2</v>
      </c>
      <c r="D1" s="2" t="s">
        <v>127</v>
      </c>
      <c r="E1" s="2" t="s">
        <v>128</v>
      </c>
      <c r="F1" s="2" t="s">
        <v>129</v>
      </c>
      <c r="G1" s="22" t="s">
        <v>130</v>
      </c>
      <c r="H1" t="s">
        <v>131</v>
      </c>
      <c r="I1" t="s">
        <v>132</v>
      </c>
      <c r="J1" t="s">
        <v>133</v>
      </c>
      <c r="K1" t="s">
        <v>134</v>
      </c>
      <c r="L1" t="s">
        <v>135</v>
      </c>
      <c r="M1" s="55" t="s">
        <v>136</v>
      </c>
      <c r="N1" s="15" t="s">
        <v>137</v>
      </c>
    </row>
    <row r="2" spans="1:14">
      <c r="A2" t="s">
        <v>56</v>
      </c>
      <c r="B2" t="s">
        <v>138</v>
      </c>
      <c r="C2" t="s">
        <v>139</v>
      </c>
      <c r="F2" t="s">
        <v>140</v>
      </c>
      <c r="J2" t="s">
        <v>141</v>
      </c>
      <c r="M2" s="55">
        <v>45937</v>
      </c>
      <c r="N2" t="s">
        <v>142</v>
      </c>
    </row>
    <row r="3" spans="1:14" ht="15">
      <c r="A3" t="s">
        <v>56</v>
      </c>
      <c r="B3" t="s">
        <v>143</v>
      </c>
      <c r="C3" t="s">
        <v>144</v>
      </c>
      <c r="F3" t="s">
        <v>145</v>
      </c>
      <c r="J3" t="s">
        <v>141</v>
      </c>
      <c r="M3" s="55">
        <v>45947</v>
      </c>
      <c r="N3" t="s">
        <v>146</v>
      </c>
    </row>
    <row r="4" spans="1:14">
      <c r="A4" t="s">
        <v>56</v>
      </c>
      <c r="B4" t="s">
        <v>147</v>
      </c>
      <c r="C4" t="s">
        <v>148</v>
      </c>
      <c r="F4" t="s">
        <v>149</v>
      </c>
      <c r="J4" t="s">
        <v>141</v>
      </c>
      <c r="N4"/>
    </row>
    <row r="5" spans="1:14">
      <c r="A5" t="s">
        <v>56</v>
      </c>
      <c r="B5" t="s">
        <v>150</v>
      </c>
      <c r="C5" t="s">
        <v>151</v>
      </c>
      <c r="F5" t="s">
        <v>152</v>
      </c>
      <c r="J5" t="s">
        <v>141</v>
      </c>
      <c r="N5"/>
    </row>
    <row r="6" spans="1:14">
      <c r="A6" t="s">
        <v>56</v>
      </c>
      <c r="B6" t="s">
        <v>153</v>
      </c>
      <c r="C6" t="s">
        <v>154</v>
      </c>
      <c r="F6" t="s">
        <v>155</v>
      </c>
      <c r="J6" t="s">
        <v>141</v>
      </c>
      <c r="N6"/>
    </row>
    <row r="7" spans="1:14">
      <c r="A7" t="s">
        <v>56</v>
      </c>
      <c r="B7" t="s">
        <v>156</v>
      </c>
      <c r="C7" t="s">
        <v>157</v>
      </c>
      <c r="F7" t="s">
        <v>158</v>
      </c>
      <c r="J7" t="s">
        <v>141</v>
      </c>
      <c r="N7"/>
    </row>
    <row r="8" spans="1:14">
      <c r="A8" t="s">
        <v>56</v>
      </c>
      <c r="B8" t="s">
        <v>159</v>
      </c>
      <c r="C8" t="s">
        <v>160</v>
      </c>
      <c r="F8" t="s">
        <v>161</v>
      </c>
      <c r="J8" t="s">
        <v>141</v>
      </c>
      <c r="N8"/>
    </row>
    <row r="9" spans="1:14" ht="107.25" customHeight="1">
      <c r="A9" t="s">
        <v>56</v>
      </c>
      <c r="B9" t="s">
        <v>162</v>
      </c>
      <c r="C9" t="s">
        <v>163</v>
      </c>
      <c r="F9" t="s">
        <v>152</v>
      </c>
      <c r="G9" s="15" t="s">
        <v>164</v>
      </c>
      <c r="J9" t="s">
        <v>141</v>
      </c>
      <c r="N9"/>
    </row>
    <row r="10" spans="1:14">
      <c r="A10" t="s">
        <v>56</v>
      </c>
      <c r="B10" t="s">
        <v>165</v>
      </c>
      <c r="C10" t="s">
        <v>166</v>
      </c>
      <c r="D10" t="s">
        <v>167</v>
      </c>
      <c r="F10" t="s">
        <v>168</v>
      </c>
      <c r="J10" t="s">
        <v>141</v>
      </c>
      <c r="N10"/>
    </row>
    <row r="11" spans="1:14">
      <c r="A11" t="s">
        <v>56</v>
      </c>
      <c r="B11" t="s">
        <v>169</v>
      </c>
      <c r="C11" t="s">
        <v>170</v>
      </c>
      <c r="D11" t="s">
        <v>167</v>
      </c>
      <c r="E11" t="s">
        <v>171</v>
      </c>
      <c r="F11" t="s">
        <v>172</v>
      </c>
      <c r="J11" t="s">
        <v>141</v>
      </c>
      <c r="N11"/>
    </row>
    <row r="12" spans="1:14">
      <c r="A12" t="s">
        <v>56</v>
      </c>
      <c r="B12" t="s">
        <v>173</v>
      </c>
      <c r="C12" t="s">
        <v>174</v>
      </c>
      <c r="D12" t="s">
        <v>167</v>
      </c>
      <c r="E12" t="s">
        <v>171</v>
      </c>
      <c r="F12" t="s">
        <v>175</v>
      </c>
      <c r="J12" t="s">
        <v>141</v>
      </c>
      <c r="N12"/>
    </row>
    <row r="13" spans="1:14" hidden="1">
      <c r="A13" t="s">
        <v>96</v>
      </c>
      <c r="B13" t="s">
        <v>176</v>
      </c>
      <c r="C13" t="s">
        <v>177</v>
      </c>
      <c r="F13" t="s">
        <v>178</v>
      </c>
      <c r="J13" t="s">
        <v>141</v>
      </c>
      <c r="M13"/>
      <c r="N13"/>
    </row>
    <row r="14" spans="1:14" hidden="1">
      <c r="A14" t="s">
        <v>96</v>
      </c>
      <c r="B14" t="s">
        <v>138</v>
      </c>
      <c r="C14" t="s">
        <v>179</v>
      </c>
      <c r="F14" t="s">
        <v>180</v>
      </c>
      <c r="J14" t="s">
        <v>141</v>
      </c>
      <c r="M14"/>
      <c r="N14"/>
    </row>
    <row r="15" spans="1:14" hidden="1">
      <c r="A15" t="s">
        <v>96</v>
      </c>
      <c r="B15" t="s">
        <v>181</v>
      </c>
      <c r="C15" t="s">
        <v>182</v>
      </c>
      <c r="F15" t="s">
        <v>180</v>
      </c>
      <c r="J15" t="s">
        <v>141</v>
      </c>
      <c r="M15"/>
      <c r="N15"/>
    </row>
    <row r="16" spans="1:14" hidden="1">
      <c r="A16" t="s">
        <v>96</v>
      </c>
      <c r="B16" t="s">
        <v>183</v>
      </c>
      <c r="C16" t="s">
        <v>184</v>
      </c>
      <c r="F16" t="s">
        <v>185</v>
      </c>
      <c r="G16" s="15">
        <v>0.05</v>
      </c>
      <c r="J16" t="s">
        <v>141</v>
      </c>
      <c r="M16"/>
      <c r="N16"/>
    </row>
    <row r="17" spans="1:11" customFormat="1" hidden="1">
      <c r="A17" t="s">
        <v>186</v>
      </c>
      <c r="B17" t="s">
        <v>181</v>
      </c>
      <c r="C17" t="s">
        <v>187</v>
      </c>
      <c r="F17" t="s">
        <v>178</v>
      </c>
      <c r="G17" s="15"/>
      <c r="J17" t="s">
        <v>188</v>
      </c>
    </row>
    <row r="18" spans="1:11" customFormat="1" hidden="1">
      <c r="A18" t="s">
        <v>186</v>
      </c>
      <c r="B18" t="s">
        <v>189</v>
      </c>
      <c r="C18" t="s">
        <v>190</v>
      </c>
      <c r="F18" t="s">
        <v>191</v>
      </c>
      <c r="G18" s="15" t="s">
        <v>192</v>
      </c>
      <c r="J18" t="s">
        <v>188</v>
      </c>
    </row>
    <row r="19" spans="1:11" customFormat="1" hidden="1">
      <c r="A19" t="s">
        <v>186</v>
      </c>
      <c r="B19" t="s">
        <v>193</v>
      </c>
      <c r="C19" t="s">
        <v>194</v>
      </c>
      <c r="F19" t="s">
        <v>195</v>
      </c>
      <c r="G19" s="15"/>
      <c r="J19" t="s">
        <v>188</v>
      </c>
    </row>
    <row r="20" spans="1:11" customFormat="1" hidden="1">
      <c r="A20" t="s">
        <v>186</v>
      </c>
      <c r="B20" t="s">
        <v>196</v>
      </c>
      <c r="C20" t="s">
        <v>197</v>
      </c>
      <c r="F20" t="s">
        <v>195</v>
      </c>
      <c r="G20" s="15"/>
      <c r="J20" t="s">
        <v>188</v>
      </c>
    </row>
    <row r="21" spans="1:11" customFormat="1" hidden="1">
      <c r="A21" t="s">
        <v>186</v>
      </c>
      <c r="B21" t="s">
        <v>198</v>
      </c>
      <c r="C21" t="s">
        <v>199</v>
      </c>
      <c r="F21" t="s">
        <v>152</v>
      </c>
      <c r="G21" s="15"/>
      <c r="J21" t="s">
        <v>188</v>
      </c>
    </row>
    <row r="22" spans="1:11" customFormat="1" ht="43.15" hidden="1">
      <c r="A22" t="s">
        <v>186</v>
      </c>
      <c r="B22" t="s">
        <v>200</v>
      </c>
      <c r="C22" s="4" t="s">
        <v>201</v>
      </c>
      <c r="D22" s="3" t="s">
        <v>202</v>
      </c>
      <c r="E22" s="5" t="s">
        <v>203</v>
      </c>
      <c r="F22" t="s">
        <v>152</v>
      </c>
      <c r="G22" s="5" t="s">
        <v>204</v>
      </c>
      <c r="J22" t="s">
        <v>188</v>
      </c>
    </row>
    <row r="23" spans="1:11" customFormat="1" hidden="1">
      <c r="A23" t="s">
        <v>186</v>
      </c>
      <c r="B23" t="s">
        <v>205</v>
      </c>
      <c r="C23" t="s">
        <v>206</v>
      </c>
      <c r="F23" t="s">
        <v>152</v>
      </c>
      <c r="G23" s="5" t="s">
        <v>207</v>
      </c>
      <c r="J23" t="s">
        <v>188</v>
      </c>
    </row>
    <row r="24" spans="1:11" customFormat="1" hidden="1">
      <c r="A24" t="s">
        <v>186</v>
      </c>
      <c r="B24" t="s">
        <v>208</v>
      </c>
      <c r="C24" t="s">
        <v>209</v>
      </c>
      <c r="F24" t="s">
        <v>191</v>
      </c>
      <c r="G24" s="15" t="s">
        <v>210</v>
      </c>
      <c r="J24" t="s">
        <v>188</v>
      </c>
    </row>
    <row r="25" spans="1:11" customFormat="1" hidden="1">
      <c r="A25" t="s">
        <v>40</v>
      </c>
      <c r="B25" t="s">
        <v>211</v>
      </c>
      <c r="G25" s="15"/>
    </row>
    <row r="26" spans="1:11" customFormat="1" hidden="1">
      <c r="A26" t="s">
        <v>40</v>
      </c>
      <c r="B26" t="s">
        <v>212</v>
      </c>
      <c r="C26" t="s">
        <v>213</v>
      </c>
      <c r="G26" s="15"/>
    </row>
    <row r="27" spans="1:11" customFormat="1" hidden="1">
      <c r="A27" t="s">
        <v>40</v>
      </c>
      <c r="B27" t="s">
        <v>214</v>
      </c>
      <c r="C27" t="s">
        <v>215</v>
      </c>
      <c r="G27" s="15"/>
    </row>
    <row r="28" spans="1:11" customFormat="1" hidden="1">
      <c r="A28" t="s">
        <v>40</v>
      </c>
      <c r="B28" t="s">
        <v>216</v>
      </c>
      <c r="C28" t="s">
        <v>217</v>
      </c>
      <c r="G28" s="15"/>
    </row>
    <row r="29" spans="1:11" customFormat="1" hidden="1">
      <c r="A29" t="s">
        <v>40</v>
      </c>
      <c r="B29" t="s">
        <v>218</v>
      </c>
      <c r="C29" t="s">
        <v>219</v>
      </c>
      <c r="G29" s="15"/>
    </row>
    <row r="30" spans="1:11" customFormat="1" hidden="1">
      <c r="A30" s="3" t="s">
        <v>40</v>
      </c>
      <c r="B30" s="3" t="s">
        <v>220</v>
      </c>
      <c r="C30" s="3" t="s">
        <v>221</v>
      </c>
      <c r="D30" s="3" t="s">
        <v>222</v>
      </c>
      <c r="E30" s="3" t="s">
        <v>223</v>
      </c>
      <c r="F30" s="3"/>
      <c r="G30" s="5"/>
      <c r="H30" s="3"/>
      <c r="I30" s="3"/>
      <c r="J30" s="3"/>
      <c r="K30" s="3"/>
    </row>
    <row r="31" spans="1:11" customFormat="1" hidden="1">
      <c r="A31" t="s">
        <v>40</v>
      </c>
      <c r="B31" t="s">
        <v>224</v>
      </c>
      <c r="C31" t="s">
        <v>225</v>
      </c>
      <c r="G31" s="15"/>
    </row>
    <row r="32" spans="1:11" customFormat="1" hidden="1">
      <c r="A32" t="s">
        <v>40</v>
      </c>
      <c r="B32" t="s">
        <v>226</v>
      </c>
      <c r="C32" t="s">
        <v>227</v>
      </c>
      <c r="G32" s="15"/>
    </row>
    <row r="33" spans="1:10" customFormat="1" hidden="1">
      <c r="A33" t="s">
        <v>15</v>
      </c>
      <c r="B33" t="s">
        <v>228</v>
      </c>
      <c r="C33" t="s">
        <v>229</v>
      </c>
      <c r="F33" t="s">
        <v>178</v>
      </c>
      <c r="G33" s="15"/>
      <c r="J33" t="s">
        <v>141</v>
      </c>
    </row>
    <row r="34" spans="1:10" customFormat="1" hidden="1">
      <c r="A34" t="s">
        <v>15</v>
      </c>
      <c r="B34" t="s">
        <v>230</v>
      </c>
      <c r="C34" t="s">
        <v>231</v>
      </c>
      <c r="F34" t="s">
        <v>191</v>
      </c>
      <c r="G34" s="15"/>
      <c r="J34" t="s">
        <v>141</v>
      </c>
    </row>
    <row r="35" spans="1:10" customFormat="1" hidden="1">
      <c r="A35" t="s">
        <v>15</v>
      </c>
      <c r="B35" t="s">
        <v>232</v>
      </c>
      <c r="C35" t="s">
        <v>233</v>
      </c>
      <c r="F35" t="s">
        <v>195</v>
      </c>
      <c r="G35" s="15"/>
      <c r="J35" t="s">
        <v>188</v>
      </c>
    </row>
    <row r="36" spans="1:10" customFormat="1" hidden="1">
      <c r="A36" t="s">
        <v>15</v>
      </c>
      <c r="B36" t="s">
        <v>234</v>
      </c>
      <c r="C36" t="s">
        <v>235</v>
      </c>
      <c r="F36" t="s">
        <v>195</v>
      </c>
      <c r="G36" s="15"/>
      <c r="J36" t="s">
        <v>141</v>
      </c>
    </row>
    <row r="37" spans="1:10" customFormat="1" hidden="1">
      <c r="A37" t="s">
        <v>15</v>
      </c>
      <c r="B37" t="s">
        <v>236</v>
      </c>
      <c r="C37" t="s">
        <v>237</v>
      </c>
      <c r="F37" t="s">
        <v>195</v>
      </c>
      <c r="G37" s="15"/>
      <c r="J37" t="s">
        <v>141</v>
      </c>
    </row>
    <row r="38" spans="1:10" customFormat="1" hidden="1">
      <c r="A38" t="s">
        <v>15</v>
      </c>
      <c r="B38" t="s">
        <v>238</v>
      </c>
      <c r="C38" t="s">
        <v>239</v>
      </c>
      <c r="D38" t="s">
        <v>240</v>
      </c>
      <c r="E38" t="s">
        <v>241</v>
      </c>
      <c r="G38" s="15"/>
      <c r="J38" t="s">
        <v>188</v>
      </c>
    </row>
    <row r="39" spans="1:10" customFormat="1" hidden="1">
      <c r="A39" t="s">
        <v>15</v>
      </c>
      <c r="B39" t="s">
        <v>242</v>
      </c>
      <c r="C39" t="s">
        <v>243</v>
      </c>
      <c r="F39" t="s">
        <v>244</v>
      </c>
      <c r="G39" s="15"/>
      <c r="J39" t="s">
        <v>188</v>
      </c>
    </row>
    <row r="40" spans="1:10" customFormat="1" hidden="1">
      <c r="A40" t="s">
        <v>15</v>
      </c>
      <c r="B40" t="s">
        <v>245</v>
      </c>
      <c r="C40" t="s">
        <v>246</v>
      </c>
      <c r="D40" t="s">
        <v>247</v>
      </c>
      <c r="E40" t="s">
        <v>248</v>
      </c>
      <c r="F40" t="s">
        <v>249</v>
      </c>
      <c r="G40" s="15"/>
      <c r="J40" t="s">
        <v>188</v>
      </c>
    </row>
    <row r="41" spans="1:10" customFormat="1" hidden="1">
      <c r="A41" t="s">
        <v>15</v>
      </c>
      <c r="B41" t="s">
        <v>250</v>
      </c>
      <c r="C41" t="s">
        <v>251</v>
      </c>
      <c r="G41" s="15"/>
      <c r="J41" t="s">
        <v>188</v>
      </c>
    </row>
    <row r="42" spans="1:10" customFormat="1" hidden="1">
      <c r="A42" t="s">
        <v>15</v>
      </c>
      <c r="B42" t="s">
        <v>252</v>
      </c>
      <c r="C42" t="s">
        <v>253</v>
      </c>
      <c r="G42" s="15"/>
      <c r="J42" t="s">
        <v>188</v>
      </c>
    </row>
    <row r="43" spans="1:10" customFormat="1" hidden="1">
      <c r="A43" t="s">
        <v>15</v>
      </c>
      <c r="B43" t="s">
        <v>254</v>
      </c>
      <c r="C43" t="s">
        <v>255</v>
      </c>
      <c r="D43" t="s">
        <v>222</v>
      </c>
      <c r="E43" t="s">
        <v>256</v>
      </c>
      <c r="G43" s="15"/>
      <c r="J43" t="s">
        <v>188</v>
      </c>
    </row>
    <row r="44" spans="1:10" customFormat="1" ht="57.6" hidden="1">
      <c r="A44" t="s">
        <v>15</v>
      </c>
      <c r="B44" t="s">
        <v>257</v>
      </c>
      <c r="C44" t="s">
        <v>258</v>
      </c>
      <c r="D44" t="s">
        <v>259</v>
      </c>
      <c r="E44" t="s">
        <v>260</v>
      </c>
      <c r="G44" s="15" t="s">
        <v>261</v>
      </c>
      <c r="J44" t="s">
        <v>141</v>
      </c>
    </row>
    <row r="45" spans="1:10" customFormat="1" hidden="1">
      <c r="A45" t="s">
        <v>15</v>
      </c>
      <c r="B45" t="s">
        <v>262</v>
      </c>
      <c r="C45" t="s">
        <v>263</v>
      </c>
      <c r="G45" s="15" t="s">
        <v>264</v>
      </c>
      <c r="J45" t="s">
        <v>141</v>
      </c>
    </row>
    <row r="46" spans="1:10" customFormat="1" hidden="1">
      <c r="A46" t="s">
        <v>15</v>
      </c>
      <c r="B46" t="s">
        <v>265</v>
      </c>
      <c r="C46" t="s">
        <v>266</v>
      </c>
      <c r="G46" s="15"/>
      <c r="J46" t="s">
        <v>188</v>
      </c>
    </row>
    <row r="47" spans="1:10" customFormat="1" hidden="1">
      <c r="A47" t="s">
        <v>15</v>
      </c>
      <c r="B47" t="s">
        <v>267</v>
      </c>
      <c r="C47" t="s">
        <v>266</v>
      </c>
      <c r="G47" s="15"/>
      <c r="J47" t="s">
        <v>188</v>
      </c>
    </row>
    <row r="48" spans="1:10" customFormat="1" hidden="1">
      <c r="A48" t="s">
        <v>15</v>
      </c>
      <c r="B48" t="s">
        <v>268</v>
      </c>
      <c r="C48" t="s">
        <v>269</v>
      </c>
      <c r="F48" t="s">
        <v>270</v>
      </c>
      <c r="G48" s="15"/>
      <c r="J48" t="s">
        <v>141</v>
      </c>
    </row>
    <row r="49" spans="1:14" hidden="1">
      <c r="A49" t="s">
        <v>15</v>
      </c>
      <c r="B49" t="s">
        <v>271</v>
      </c>
      <c r="C49" t="s">
        <v>272</v>
      </c>
      <c r="G49" s="3" t="s">
        <v>273</v>
      </c>
      <c r="J49" t="s">
        <v>141</v>
      </c>
      <c r="M49"/>
      <c r="N49"/>
    </row>
    <row r="50" spans="1:14" hidden="1">
      <c r="A50" t="s">
        <v>15</v>
      </c>
      <c r="B50" t="s">
        <v>274</v>
      </c>
      <c r="C50" t="s">
        <v>275</v>
      </c>
      <c r="J50" t="s">
        <v>188</v>
      </c>
      <c r="M50"/>
      <c r="N50"/>
    </row>
    <row r="51" spans="1:14" hidden="1">
      <c r="A51" t="s">
        <v>15</v>
      </c>
      <c r="B51" t="s">
        <v>276</v>
      </c>
      <c r="C51" s="1" t="s">
        <v>277</v>
      </c>
      <c r="F51" t="s">
        <v>278</v>
      </c>
      <c r="J51" t="s">
        <v>141</v>
      </c>
      <c r="M51"/>
      <c r="N51"/>
    </row>
    <row r="52" spans="1:14" hidden="1">
      <c r="A52" t="s">
        <v>15</v>
      </c>
      <c r="B52" t="s">
        <v>279</v>
      </c>
      <c r="C52" s="1" t="s">
        <v>280</v>
      </c>
      <c r="F52" t="s">
        <v>191</v>
      </c>
      <c r="J52" t="s">
        <v>141</v>
      </c>
      <c r="M52"/>
      <c r="N52"/>
    </row>
    <row r="53" spans="1:14" hidden="1">
      <c r="A53" t="s">
        <v>15</v>
      </c>
      <c r="B53" t="s">
        <v>281</v>
      </c>
      <c r="C53" s="1" t="s">
        <v>282</v>
      </c>
      <c r="F53" t="s">
        <v>283</v>
      </c>
      <c r="J53" t="s">
        <v>141</v>
      </c>
      <c r="M53"/>
      <c r="N53"/>
    </row>
    <row r="54" spans="1:14">
      <c r="A54" t="s">
        <v>24</v>
      </c>
      <c r="B54" t="s">
        <v>284</v>
      </c>
      <c r="C54" t="s">
        <v>285</v>
      </c>
      <c r="D54" t="s">
        <v>286</v>
      </c>
      <c r="F54" t="s">
        <v>178</v>
      </c>
      <c r="J54" t="s">
        <v>141</v>
      </c>
      <c r="M54"/>
      <c r="N54"/>
    </row>
    <row r="55" spans="1:14">
      <c r="A55" t="s">
        <v>24</v>
      </c>
      <c r="B55" t="s">
        <v>287</v>
      </c>
      <c r="C55" t="s">
        <v>288</v>
      </c>
      <c r="E55" t="s">
        <v>289</v>
      </c>
      <c r="F55" t="s">
        <v>191</v>
      </c>
      <c r="J55" t="s">
        <v>141</v>
      </c>
      <c r="M55" s="50">
        <v>45953</v>
      </c>
      <c r="N55" t="s">
        <v>290</v>
      </c>
    </row>
    <row r="56" spans="1:14" ht="57.6">
      <c r="A56" t="s">
        <v>24</v>
      </c>
      <c r="B56" t="s">
        <v>291</v>
      </c>
      <c r="C56" t="s">
        <v>292</v>
      </c>
      <c r="E56" t="s">
        <v>289</v>
      </c>
      <c r="F56" t="s">
        <v>293</v>
      </c>
      <c r="G56" s="15" t="s">
        <v>294</v>
      </c>
      <c r="J56" t="s">
        <v>141</v>
      </c>
      <c r="M56"/>
      <c r="N56"/>
    </row>
    <row r="57" spans="1:14" ht="43.15">
      <c r="A57" t="s">
        <v>24</v>
      </c>
      <c r="B57" t="s">
        <v>214</v>
      </c>
      <c r="C57" t="s">
        <v>295</v>
      </c>
      <c r="F57" t="s">
        <v>293</v>
      </c>
      <c r="G57" s="15" t="s">
        <v>296</v>
      </c>
      <c r="J57" t="s">
        <v>188</v>
      </c>
      <c r="M57"/>
      <c r="N57"/>
    </row>
    <row r="58" spans="1:14" ht="28.9">
      <c r="A58" s="2" t="s">
        <v>24</v>
      </c>
      <c r="B58" t="s">
        <v>297</v>
      </c>
      <c r="C58" s="1" t="s">
        <v>298</v>
      </c>
      <c r="E58" t="s">
        <v>299</v>
      </c>
      <c r="G58" s="15" t="s">
        <v>300</v>
      </c>
      <c r="J58" t="s">
        <v>188</v>
      </c>
      <c r="M58"/>
      <c r="N58"/>
    </row>
    <row r="59" spans="1:14" hidden="1">
      <c r="A59" s="2" t="s">
        <v>68</v>
      </c>
      <c r="B59" t="s">
        <v>276</v>
      </c>
      <c r="C59" s="52" t="s">
        <v>277</v>
      </c>
      <c r="F59" t="s">
        <v>278</v>
      </c>
      <c r="J59" t="s">
        <v>141</v>
      </c>
      <c r="M59"/>
      <c r="N59"/>
    </row>
    <row r="60" spans="1:14" hidden="1">
      <c r="A60" s="2" t="s">
        <v>68</v>
      </c>
      <c r="B60" t="s">
        <v>279</v>
      </c>
      <c r="C60" s="52" t="s">
        <v>280</v>
      </c>
      <c r="F60" t="s">
        <v>191</v>
      </c>
      <c r="J60" t="s">
        <v>141</v>
      </c>
      <c r="M60"/>
      <c r="N60"/>
    </row>
    <row r="61" spans="1:14" hidden="1">
      <c r="A61" s="2" t="s">
        <v>68</v>
      </c>
      <c r="B61" t="s">
        <v>281</v>
      </c>
      <c r="C61" s="52" t="s">
        <v>282</v>
      </c>
      <c r="F61" t="s">
        <v>283</v>
      </c>
      <c r="J61" t="s">
        <v>141</v>
      </c>
      <c r="M61"/>
      <c r="N61"/>
    </row>
    <row r="62" spans="1:14" hidden="1">
      <c r="A62" t="s">
        <v>68</v>
      </c>
      <c r="B62" t="s">
        <v>156</v>
      </c>
      <c r="C62" s="53"/>
      <c r="F62" t="s">
        <v>140</v>
      </c>
      <c r="J62" t="s">
        <v>141</v>
      </c>
      <c r="M62"/>
      <c r="N62"/>
    </row>
    <row r="63" spans="1:14" hidden="1">
      <c r="A63" t="s">
        <v>68</v>
      </c>
      <c r="B63" t="s">
        <v>301</v>
      </c>
      <c r="C63" s="53"/>
      <c r="F63" t="s">
        <v>158</v>
      </c>
      <c r="J63" t="s">
        <v>141</v>
      </c>
      <c r="M63"/>
      <c r="N63"/>
    </row>
    <row r="64" spans="1:14" hidden="1">
      <c r="A64" t="s">
        <v>68</v>
      </c>
      <c r="B64" t="s">
        <v>302</v>
      </c>
      <c r="C64" s="53" t="s">
        <v>303</v>
      </c>
      <c r="D64" t="s">
        <v>304</v>
      </c>
      <c r="E64" t="s">
        <v>305</v>
      </c>
      <c r="G64" s="15" t="s">
        <v>306</v>
      </c>
      <c r="J64" t="s">
        <v>141</v>
      </c>
      <c r="M64"/>
      <c r="N64"/>
    </row>
    <row r="65" spans="1:14" hidden="1">
      <c r="A65" t="s">
        <v>68</v>
      </c>
      <c r="B65" t="s">
        <v>307</v>
      </c>
      <c r="C65" s="53" t="s">
        <v>308</v>
      </c>
      <c r="D65" t="s">
        <v>309</v>
      </c>
      <c r="E65" t="s">
        <v>171</v>
      </c>
      <c r="G65" s="15" t="s">
        <v>310</v>
      </c>
      <c r="J65" t="s">
        <v>141</v>
      </c>
      <c r="M65"/>
      <c r="N65"/>
    </row>
    <row r="66" spans="1:14" hidden="1">
      <c r="A66" t="s">
        <v>68</v>
      </c>
      <c r="B66" t="s">
        <v>311</v>
      </c>
      <c r="C66" s="53" t="s">
        <v>312</v>
      </c>
      <c r="D66" t="s">
        <v>313</v>
      </c>
      <c r="E66" t="s">
        <v>314</v>
      </c>
      <c r="J66" t="s">
        <v>188</v>
      </c>
      <c r="M66"/>
      <c r="N66"/>
    </row>
    <row r="67" spans="1:14" hidden="1">
      <c r="A67" t="s">
        <v>68</v>
      </c>
      <c r="B67" s="3" t="s">
        <v>315</v>
      </c>
      <c r="C67" s="53" t="s">
        <v>316</v>
      </c>
      <c r="F67" t="s">
        <v>317</v>
      </c>
      <c r="G67" s="15" t="s">
        <v>318</v>
      </c>
      <c r="J67" t="s">
        <v>188</v>
      </c>
      <c r="M67"/>
      <c r="N67"/>
    </row>
    <row r="68" spans="1:14" ht="28.9" hidden="1">
      <c r="A68" t="s">
        <v>68</v>
      </c>
      <c r="B68" t="s">
        <v>319</v>
      </c>
      <c r="C68" s="53" t="s">
        <v>320</v>
      </c>
      <c r="D68" t="s">
        <v>321</v>
      </c>
      <c r="E68" t="s">
        <v>322</v>
      </c>
      <c r="F68" t="s">
        <v>317</v>
      </c>
      <c r="G68" s="15" t="s">
        <v>323</v>
      </c>
      <c r="J68" t="s">
        <v>188</v>
      </c>
      <c r="M68"/>
      <c r="N68"/>
    </row>
    <row r="69" spans="1:14" hidden="1">
      <c r="A69" t="s">
        <v>68</v>
      </c>
      <c r="B69" t="s">
        <v>324</v>
      </c>
      <c r="C69" s="53" t="s">
        <v>325</v>
      </c>
      <c r="D69" t="s">
        <v>321</v>
      </c>
      <c r="E69" t="s">
        <v>322</v>
      </c>
      <c r="J69" t="s">
        <v>188</v>
      </c>
      <c r="M69"/>
      <c r="N69"/>
    </row>
    <row r="70" spans="1:14" hidden="1">
      <c r="A70" s="2" t="s">
        <v>68</v>
      </c>
      <c r="B70" t="s">
        <v>212</v>
      </c>
      <c r="C70" s="52" t="s">
        <v>326</v>
      </c>
      <c r="E70" t="s">
        <v>327</v>
      </c>
      <c r="F70" t="s">
        <v>191</v>
      </c>
      <c r="G70" s="15" t="s">
        <v>328</v>
      </c>
      <c r="J70" t="s">
        <v>188</v>
      </c>
      <c r="M70"/>
      <c r="N70"/>
    </row>
    <row r="71" spans="1:14" hidden="1">
      <c r="A71" t="s">
        <v>112</v>
      </c>
      <c r="B71" t="s">
        <v>329</v>
      </c>
      <c r="C71" s="1" t="s">
        <v>330</v>
      </c>
      <c r="M71"/>
      <c r="N71"/>
    </row>
    <row r="72" spans="1:14" hidden="1">
      <c r="A72" t="s">
        <v>112</v>
      </c>
      <c r="B72" t="s">
        <v>331</v>
      </c>
      <c r="C72" s="1" t="s">
        <v>332</v>
      </c>
      <c r="M72"/>
      <c r="N72"/>
    </row>
    <row r="73" spans="1:14" hidden="1">
      <c r="A73" t="s">
        <v>112</v>
      </c>
      <c r="B73" t="s">
        <v>333</v>
      </c>
      <c r="C73" s="1" t="s">
        <v>334</v>
      </c>
      <c r="M73"/>
      <c r="N73"/>
    </row>
    <row r="74" spans="1:14" hidden="1">
      <c r="A74" t="s">
        <v>112</v>
      </c>
      <c r="B74" t="s">
        <v>335</v>
      </c>
      <c r="C74" s="1" t="s">
        <v>336</v>
      </c>
      <c r="M74"/>
      <c r="N74"/>
    </row>
    <row r="75" spans="1:14" hidden="1">
      <c r="A75" t="s">
        <v>112</v>
      </c>
      <c r="B75" t="s">
        <v>337</v>
      </c>
      <c r="C75" s="1" t="s">
        <v>338</v>
      </c>
      <c r="M75"/>
      <c r="N75"/>
    </row>
    <row r="76" spans="1:14" hidden="1">
      <c r="A76" t="s">
        <v>112</v>
      </c>
      <c r="B76" t="s">
        <v>339</v>
      </c>
      <c r="C76" s="1"/>
      <c r="M76"/>
      <c r="N76"/>
    </row>
    <row r="77" spans="1:14" hidden="1">
      <c r="A77" t="s">
        <v>112</v>
      </c>
      <c r="B77" t="s">
        <v>340</v>
      </c>
      <c r="C77" s="1"/>
      <c r="M77"/>
      <c r="N77"/>
    </row>
    <row r="78" spans="1:14" hidden="1">
      <c r="A78" t="s">
        <v>31</v>
      </c>
      <c r="B78" t="s">
        <v>212</v>
      </c>
      <c r="C78" t="s">
        <v>341</v>
      </c>
      <c r="F78" t="s">
        <v>191</v>
      </c>
      <c r="M78"/>
      <c r="N78"/>
    </row>
    <row r="79" spans="1:14" hidden="1">
      <c r="A79" t="s">
        <v>31</v>
      </c>
      <c r="B79" t="s">
        <v>342</v>
      </c>
      <c r="C79" t="s">
        <v>343</v>
      </c>
      <c r="F79" t="s">
        <v>191</v>
      </c>
      <c r="M79"/>
      <c r="N79"/>
    </row>
    <row r="80" spans="1:14" hidden="1">
      <c r="A80" t="s">
        <v>45</v>
      </c>
      <c r="B80" t="s">
        <v>212</v>
      </c>
      <c r="C80" t="s">
        <v>344</v>
      </c>
      <c r="F80" t="s">
        <v>191</v>
      </c>
      <c r="J80" t="s">
        <v>188</v>
      </c>
      <c r="M80"/>
      <c r="N80"/>
    </row>
    <row r="81" spans="1:14" hidden="1">
      <c r="A81" t="s">
        <v>45</v>
      </c>
      <c r="B81" t="s">
        <v>279</v>
      </c>
      <c r="C81" s="1" t="s">
        <v>280</v>
      </c>
      <c r="F81" t="s">
        <v>191</v>
      </c>
      <c r="J81" t="s">
        <v>141</v>
      </c>
      <c r="M81"/>
      <c r="N81"/>
    </row>
    <row r="82" spans="1:14" hidden="1">
      <c r="A82" t="s">
        <v>51</v>
      </c>
      <c r="B82" t="s">
        <v>147</v>
      </c>
      <c r="C82" t="s">
        <v>345</v>
      </c>
      <c r="J82" t="s">
        <v>141</v>
      </c>
      <c r="M82"/>
    </row>
    <row r="83" spans="1:14" hidden="1">
      <c r="A83" t="s">
        <v>51</v>
      </c>
      <c r="B83" t="s">
        <v>346</v>
      </c>
      <c r="C83" t="s">
        <v>347</v>
      </c>
      <c r="J83" t="s">
        <v>141</v>
      </c>
      <c r="M83"/>
    </row>
    <row r="84" spans="1:14" hidden="1">
      <c r="A84" t="s">
        <v>51</v>
      </c>
      <c r="B84" t="s">
        <v>348</v>
      </c>
      <c r="C84" t="s">
        <v>349</v>
      </c>
      <c r="J84" t="s">
        <v>141</v>
      </c>
      <c r="M84"/>
    </row>
    <row r="85" spans="1:14" ht="41.45" hidden="1">
      <c r="A85" t="s">
        <v>51</v>
      </c>
      <c r="B85" t="s">
        <v>350</v>
      </c>
      <c r="C85" t="s">
        <v>351</v>
      </c>
      <c r="F85" t="s">
        <v>352</v>
      </c>
      <c r="G85" s="32" t="s">
        <v>353</v>
      </c>
      <c r="J85" t="s">
        <v>188</v>
      </c>
      <c r="M85"/>
    </row>
    <row r="86" spans="1:14" hidden="1">
      <c r="A86" t="s">
        <v>51</v>
      </c>
      <c r="B86" t="s">
        <v>354</v>
      </c>
      <c r="C86" t="s">
        <v>355</v>
      </c>
      <c r="F86" t="s">
        <v>356</v>
      </c>
      <c r="J86" t="s">
        <v>188</v>
      </c>
      <c r="M86"/>
    </row>
    <row r="87" spans="1:14" hidden="1">
      <c r="A87" t="s">
        <v>51</v>
      </c>
      <c r="B87" t="s">
        <v>143</v>
      </c>
      <c r="C87" t="s">
        <v>357</v>
      </c>
      <c r="F87" t="s">
        <v>358</v>
      </c>
      <c r="J87" t="s">
        <v>141</v>
      </c>
      <c r="M87"/>
    </row>
    <row r="88" spans="1:14" hidden="1">
      <c r="A88" t="s">
        <v>51</v>
      </c>
      <c r="B88" t="s">
        <v>359</v>
      </c>
      <c r="C88" t="s">
        <v>360</v>
      </c>
      <c r="F88" t="s">
        <v>161</v>
      </c>
      <c r="J88" t="s">
        <v>141</v>
      </c>
      <c r="M88"/>
    </row>
    <row r="89" spans="1:14" hidden="1">
      <c r="A89" t="s">
        <v>51</v>
      </c>
      <c r="B89" t="s">
        <v>361</v>
      </c>
      <c r="C89" t="s">
        <v>362</v>
      </c>
      <c r="F89" t="s">
        <v>158</v>
      </c>
      <c r="J89" t="s">
        <v>141</v>
      </c>
      <c r="M89"/>
    </row>
    <row r="90" spans="1:14" ht="172.9" hidden="1">
      <c r="A90" t="s">
        <v>51</v>
      </c>
      <c r="B90" t="s">
        <v>363</v>
      </c>
      <c r="C90" t="s">
        <v>364</v>
      </c>
      <c r="G90" s="54" t="s">
        <v>365</v>
      </c>
      <c r="J90" t="s">
        <v>141</v>
      </c>
      <c r="M90" t="s">
        <v>366</v>
      </c>
      <c r="N90" s="15" t="s">
        <v>367</v>
      </c>
    </row>
    <row r="91" spans="1:14" hidden="1">
      <c r="A91" t="s">
        <v>51</v>
      </c>
      <c r="B91" t="s">
        <v>368</v>
      </c>
      <c r="C91" t="s">
        <v>369</v>
      </c>
      <c r="J91" t="s">
        <v>141</v>
      </c>
      <c r="M91"/>
    </row>
    <row r="92" spans="1:14" hidden="1">
      <c r="A92" s="2" t="s">
        <v>51</v>
      </c>
      <c r="B92" t="s">
        <v>276</v>
      </c>
      <c r="C92" s="1" t="s">
        <v>277</v>
      </c>
      <c r="F92" t="s">
        <v>278</v>
      </c>
      <c r="J92" t="s">
        <v>141</v>
      </c>
      <c r="M92"/>
    </row>
    <row r="93" spans="1:14" hidden="1">
      <c r="A93" s="2" t="s">
        <v>51</v>
      </c>
      <c r="B93" t="s">
        <v>279</v>
      </c>
      <c r="C93" s="1" t="s">
        <v>280</v>
      </c>
      <c r="F93" t="s">
        <v>191</v>
      </c>
      <c r="J93" t="s">
        <v>141</v>
      </c>
      <c r="M93"/>
    </row>
    <row r="94" spans="1:14" hidden="1">
      <c r="A94" s="2" t="s">
        <v>51</v>
      </c>
      <c r="B94" t="s">
        <v>281</v>
      </c>
      <c r="C94" s="1" t="s">
        <v>282</v>
      </c>
      <c r="F94" t="s">
        <v>283</v>
      </c>
      <c r="J94" t="s">
        <v>141</v>
      </c>
      <c r="M94"/>
    </row>
    <row r="95" spans="1:14" hidden="1">
      <c r="A95" t="s">
        <v>45</v>
      </c>
      <c r="B95" t="s">
        <v>276</v>
      </c>
      <c r="C95" s="1" t="s">
        <v>277</v>
      </c>
      <c r="F95" t="s">
        <v>191</v>
      </c>
      <c r="J95" t="s">
        <v>141</v>
      </c>
      <c r="M95"/>
      <c r="N95"/>
    </row>
    <row r="96" spans="1:14" hidden="1">
      <c r="A96" t="s">
        <v>31</v>
      </c>
      <c r="B96" t="s">
        <v>370</v>
      </c>
      <c r="C96" s="1" t="s">
        <v>371</v>
      </c>
      <c r="F96" t="s">
        <v>140</v>
      </c>
      <c r="M96"/>
      <c r="N96"/>
    </row>
    <row r="97" spans="1:14" hidden="1">
      <c r="A97" t="s">
        <v>45</v>
      </c>
      <c r="B97" t="s">
        <v>143</v>
      </c>
      <c r="C97" t="s">
        <v>372</v>
      </c>
      <c r="F97" t="s">
        <v>140</v>
      </c>
      <c r="J97" t="s">
        <v>141</v>
      </c>
      <c r="M97"/>
      <c r="N97"/>
    </row>
    <row r="98" spans="1:14" hidden="1">
      <c r="A98" t="s">
        <v>45</v>
      </c>
      <c r="B98" t="s">
        <v>373</v>
      </c>
      <c r="C98" t="s">
        <v>374</v>
      </c>
      <c r="D98" t="s">
        <v>375</v>
      </c>
      <c r="E98" t="s">
        <v>376</v>
      </c>
      <c r="F98" t="s">
        <v>377</v>
      </c>
      <c r="J98" t="s">
        <v>188</v>
      </c>
      <c r="M98"/>
      <c r="N98"/>
    </row>
    <row r="99" spans="1:14" hidden="1">
      <c r="A99" t="s">
        <v>45</v>
      </c>
      <c r="B99" t="s">
        <v>378</v>
      </c>
      <c r="C99" t="s">
        <v>379</v>
      </c>
      <c r="D99" t="s">
        <v>375</v>
      </c>
      <c r="E99" t="s">
        <v>376</v>
      </c>
      <c r="F99" t="s">
        <v>377</v>
      </c>
      <c r="J99" t="s">
        <v>188</v>
      </c>
      <c r="M99"/>
      <c r="N99"/>
    </row>
    <row r="100" spans="1:14" hidden="1">
      <c r="A100" t="s">
        <v>45</v>
      </c>
      <c r="B100" t="s">
        <v>380</v>
      </c>
      <c r="C100" t="s">
        <v>381</v>
      </c>
      <c r="F100" t="s">
        <v>161</v>
      </c>
      <c r="J100" t="s">
        <v>188</v>
      </c>
      <c r="M100"/>
      <c r="N100"/>
    </row>
    <row r="101" spans="1:14" hidden="1">
      <c r="A101" t="s">
        <v>45</v>
      </c>
      <c r="B101" t="s">
        <v>382</v>
      </c>
      <c r="C101" s="1" t="s">
        <v>383</v>
      </c>
      <c r="F101" t="s">
        <v>384</v>
      </c>
      <c r="J101" t="s">
        <v>141</v>
      </c>
      <c r="M101"/>
      <c r="N101"/>
    </row>
    <row r="102" spans="1:14" hidden="1">
      <c r="A102" t="s">
        <v>45</v>
      </c>
      <c r="B102" t="s">
        <v>385</v>
      </c>
      <c r="C102" t="s">
        <v>386</v>
      </c>
      <c r="D102" t="s">
        <v>222</v>
      </c>
      <c r="F102" t="s">
        <v>387</v>
      </c>
      <c r="J102" t="s">
        <v>188</v>
      </c>
      <c r="M102"/>
      <c r="N102"/>
    </row>
    <row r="103" spans="1:14" hidden="1">
      <c r="A103" t="s">
        <v>45</v>
      </c>
      <c r="B103" t="s">
        <v>388</v>
      </c>
      <c r="C103" t="s">
        <v>389</v>
      </c>
      <c r="F103" t="s">
        <v>158</v>
      </c>
      <c r="J103" t="s">
        <v>188</v>
      </c>
      <c r="M103"/>
      <c r="N103"/>
    </row>
    <row r="104" spans="1:14" hidden="1">
      <c r="A104" s="2" t="s">
        <v>45</v>
      </c>
      <c r="B104" t="s">
        <v>284</v>
      </c>
      <c r="C104" s="1" t="s">
        <v>390</v>
      </c>
      <c r="F104" t="s">
        <v>391</v>
      </c>
      <c r="J104" t="s">
        <v>141</v>
      </c>
      <c r="M104"/>
      <c r="N104"/>
    </row>
    <row r="105" spans="1:14" hidden="1">
      <c r="A105" t="s">
        <v>45</v>
      </c>
      <c r="B105" t="s">
        <v>228</v>
      </c>
      <c r="C105" t="s">
        <v>392</v>
      </c>
      <c r="F105" t="s">
        <v>393</v>
      </c>
      <c r="J105" t="s">
        <v>141</v>
      </c>
      <c r="M105"/>
      <c r="N105"/>
    </row>
    <row r="106" spans="1:14" hidden="1">
      <c r="A106" t="s">
        <v>45</v>
      </c>
      <c r="B106" t="s">
        <v>211</v>
      </c>
      <c r="C106" t="s">
        <v>394</v>
      </c>
      <c r="D106" t="s">
        <v>395</v>
      </c>
      <c r="F106" t="s">
        <v>396</v>
      </c>
      <c r="J106" t="s">
        <v>188</v>
      </c>
      <c r="M106"/>
      <c r="N106"/>
    </row>
    <row r="107" spans="1:14" hidden="1">
      <c r="A107" t="s">
        <v>45</v>
      </c>
      <c r="B107" t="s">
        <v>281</v>
      </c>
      <c r="C107" s="1" t="s">
        <v>282</v>
      </c>
      <c r="F107" t="s">
        <v>397</v>
      </c>
      <c r="J107" t="s">
        <v>141</v>
      </c>
      <c r="M107"/>
      <c r="N107"/>
    </row>
    <row r="108" spans="1:14" hidden="1">
      <c r="A108" t="s">
        <v>45</v>
      </c>
      <c r="B108" t="s">
        <v>398</v>
      </c>
      <c r="C108" t="s">
        <v>399</v>
      </c>
      <c r="F108" t="s">
        <v>400</v>
      </c>
      <c r="J108" t="s">
        <v>188</v>
      </c>
      <c r="M108"/>
      <c r="N108"/>
    </row>
    <row r="109" spans="1:14" hidden="1">
      <c r="A109" t="s">
        <v>45</v>
      </c>
      <c r="B109" t="s">
        <v>236</v>
      </c>
      <c r="C109" t="s">
        <v>401</v>
      </c>
      <c r="F109" t="s">
        <v>195</v>
      </c>
      <c r="J109" t="s">
        <v>402</v>
      </c>
      <c r="M109"/>
      <c r="N109"/>
    </row>
    <row r="110" spans="1:14" hidden="1">
      <c r="A110" t="s">
        <v>45</v>
      </c>
      <c r="B110" t="s">
        <v>234</v>
      </c>
      <c r="C110" t="s">
        <v>403</v>
      </c>
      <c r="F110" t="s">
        <v>195</v>
      </c>
      <c r="J110" t="s">
        <v>141</v>
      </c>
      <c r="M110"/>
      <c r="N110"/>
    </row>
    <row r="111" spans="1:14" hidden="1">
      <c r="A111" t="s">
        <v>31</v>
      </c>
      <c r="B111" t="s">
        <v>404</v>
      </c>
      <c r="C111" t="s">
        <v>405</v>
      </c>
      <c r="F111" t="s">
        <v>406</v>
      </c>
      <c r="M111"/>
      <c r="N111"/>
    </row>
    <row r="112" spans="1:14" hidden="1">
      <c r="A112" t="s">
        <v>36</v>
      </c>
      <c r="B112" t="s">
        <v>382</v>
      </c>
      <c r="C112" s="1" t="s">
        <v>407</v>
      </c>
      <c r="J112" t="s">
        <v>141</v>
      </c>
      <c r="M112"/>
      <c r="N112"/>
    </row>
    <row r="113" spans="1:14" hidden="1">
      <c r="A113" s="3" t="s">
        <v>36</v>
      </c>
      <c r="B113" t="s">
        <v>408</v>
      </c>
      <c r="C113" t="s">
        <v>409</v>
      </c>
      <c r="J113" t="s">
        <v>188</v>
      </c>
      <c r="M113"/>
      <c r="N113"/>
    </row>
    <row r="114" spans="1:14" hidden="1">
      <c r="A114" s="3" t="s">
        <v>36</v>
      </c>
      <c r="B114" t="s">
        <v>410</v>
      </c>
      <c r="C114" t="s">
        <v>411</v>
      </c>
      <c r="J114" t="s">
        <v>188</v>
      </c>
      <c r="M114"/>
      <c r="N114"/>
    </row>
    <row r="115" spans="1:14" hidden="1">
      <c r="A115" s="3" t="s">
        <v>36</v>
      </c>
      <c r="B115" t="s">
        <v>212</v>
      </c>
      <c r="C115" t="s">
        <v>412</v>
      </c>
      <c r="D115" t="s">
        <v>222</v>
      </c>
      <c r="E115" t="s">
        <v>413</v>
      </c>
      <c r="J115" t="s">
        <v>141</v>
      </c>
      <c r="M115"/>
      <c r="N115"/>
    </row>
    <row r="116" spans="1:14" hidden="1">
      <c r="A116" s="3" t="s">
        <v>36</v>
      </c>
      <c r="B116" t="s">
        <v>414</v>
      </c>
      <c r="C116" t="s">
        <v>415</v>
      </c>
      <c r="J116" t="s">
        <v>188</v>
      </c>
      <c r="M116"/>
      <c r="N116"/>
    </row>
    <row r="117" spans="1:14" ht="57.6" hidden="1">
      <c r="A117" s="3" t="s">
        <v>36</v>
      </c>
      <c r="B117" t="s">
        <v>268</v>
      </c>
      <c r="C117" s="5" t="s">
        <v>416</v>
      </c>
      <c r="D117" s="5" t="s">
        <v>417</v>
      </c>
      <c r="E117" s="5" t="s">
        <v>418</v>
      </c>
      <c r="F117" t="s">
        <v>270</v>
      </c>
      <c r="J117" t="s">
        <v>188</v>
      </c>
      <c r="M117"/>
      <c r="N117"/>
    </row>
    <row r="118" spans="1:14" hidden="1">
      <c r="A118" s="3" t="s">
        <v>36</v>
      </c>
      <c r="B118" t="s">
        <v>276</v>
      </c>
      <c r="C118" s="1" t="s">
        <v>277</v>
      </c>
      <c r="D118" s="5"/>
      <c r="E118" s="5"/>
      <c r="J118" t="s">
        <v>141</v>
      </c>
      <c r="M118"/>
      <c r="N118"/>
    </row>
    <row r="119" spans="1:14" hidden="1">
      <c r="A119" s="3" t="s">
        <v>36</v>
      </c>
      <c r="B119" t="s">
        <v>279</v>
      </c>
      <c r="C119" s="1" t="s">
        <v>280</v>
      </c>
      <c r="D119" s="5"/>
      <c r="E119" s="5"/>
      <c r="J119" t="s">
        <v>141</v>
      </c>
      <c r="M119"/>
      <c r="N119"/>
    </row>
    <row r="120" spans="1:14" hidden="1">
      <c r="A120" s="3" t="s">
        <v>36</v>
      </c>
      <c r="B120" t="s">
        <v>281</v>
      </c>
      <c r="C120" s="1" t="s">
        <v>282</v>
      </c>
      <c r="D120" s="5"/>
      <c r="E120" s="5"/>
      <c r="J120" t="s">
        <v>141</v>
      </c>
      <c r="M120"/>
      <c r="N120"/>
    </row>
    <row r="121" spans="1:14" hidden="1">
      <c r="A121" s="2" t="s">
        <v>84</v>
      </c>
      <c r="B121" t="s">
        <v>419</v>
      </c>
      <c r="C121" s="1" t="s">
        <v>420</v>
      </c>
      <c r="F121" t="s">
        <v>140</v>
      </c>
      <c r="J121" t="s">
        <v>141</v>
      </c>
      <c r="M121"/>
      <c r="N121"/>
    </row>
    <row r="122" spans="1:14" hidden="1">
      <c r="A122" t="s">
        <v>84</v>
      </c>
      <c r="B122" t="s">
        <v>212</v>
      </c>
      <c r="C122" s="1" t="s">
        <v>421</v>
      </c>
      <c r="E122" t="s">
        <v>422</v>
      </c>
      <c r="F122" t="s">
        <v>191</v>
      </c>
      <c r="J122" t="s">
        <v>188</v>
      </c>
      <c r="M122"/>
      <c r="N122"/>
    </row>
    <row r="123" spans="1:14" hidden="1">
      <c r="A123" t="s">
        <v>84</v>
      </c>
      <c r="B123" t="s">
        <v>232</v>
      </c>
      <c r="C123" s="1" t="s">
        <v>423</v>
      </c>
      <c r="F123" t="s">
        <v>195</v>
      </c>
      <c r="J123" t="s">
        <v>188</v>
      </c>
      <c r="M123"/>
      <c r="N123"/>
    </row>
    <row r="124" spans="1:14" hidden="1">
      <c r="A124" t="s">
        <v>84</v>
      </c>
      <c r="B124" t="s">
        <v>424</v>
      </c>
      <c r="C124" s="1" t="s">
        <v>425</v>
      </c>
      <c r="F124" t="s">
        <v>195</v>
      </c>
      <c r="J124" t="s">
        <v>141</v>
      </c>
      <c r="M124"/>
      <c r="N124"/>
    </row>
    <row r="125" spans="1:14" s="3" customFormat="1" hidden="1">
      <c r="A125" t="s">
        <v>84</v>
      </c>
      <c r="B125" t="s">
        <v>426</v>
      </c>
      <c r="C125" s="1" t="s">
        <v>427</v>
      </c>
      <c r="D125"/>
      <c r="E125"/>
      <c r="F125" t="s">
        <v>428</v>
      </c>
      <c r="G125" s="15"/>
      <c r="H125"/>
      <c r="I125"/>
      <c r="J125" t="s">
        <v>188</v>
      </c>
      <c r="K125"/>
    </row>
    <row r="126" spans="1:14" hidden="1">
      <c r="A126" t="s">
        <v>84</v>
      </c>
      <c r="B126" t="s">
        <v>429</v>
      </c>
      <c r="C126" s="1" t="s">
        <v>430</v>
      </c>
      <c r="E126" t="s">
        <v>431</v>
      </c>
      <c r="F126" t="s">
        <v>428</v>
      </c>
      <c r="J126" t="s">
        <v>141</v>
      </c>
      <c r="M126"/>
      <c r="N126"/>
    </row>
    <row r="127" spans="1:14" hidden="1">
      <c r="A127" t="s">
        <v>84</v>
      </c>
      <c r="B127" t="s">
        <v>398</v>
      </c>
      <c r="C127" s="1" t="s">
        <v>432</v>
      </c>
      <c r="J127" t="s">
        <v>188</v>
      </c>
      <c r="M127"/>
      <c r="N127"/>
    </row>
    <row r="128" spans="1:14" hidden="1">
      <c r="A128" t="s">
        <v>84</v>
      </c>
      <c r="B128" t="s">
        <v>433</v>
      </c>
      <c r="C128" s="1" t="s">
        <v>434</v>
      </c>
      <c r="J128" t="s">
        <v>188</v>
      </c>
      <c r="M128"/>
      <c r="N128"/>
    </row>
    <row r="129" spans="1:14" hidden="1">
      <c r="A129" t="s">
        <v>84</v>
      </c>
      <c r="B129" t="s">
        <v>276</v>
      </c>
      <c r="C129" s="1" t="s">
        <v>277</v>
      </c>
      <c r="F129" t="s">
        <v>278</v>
      </c>
      <c r="J129" t="s">
        <v>141</v>
      </c>
      <c r="M129"/>
      <c r="N129"/>
    </row>
    <row r="130" spans="1:14" hidden="1">
      <c r="A130" t="s">
        <v>84</v>
      </c>
      <c r="B130" t="s">
        <v>279</v>
      </c>
      <c r="C130" s="1" t="s">
        <v>280</v>
      </c>
      <c r="F130" t="s">
        <v>191</v>
      </c>
      <c r="J130" t="s">
        <v>141</v>
      </c>
      <c r="M130"/>
      <c r="N130"/>
    </row>
    <row r="131" spans="1:14" hidden="1">
      <c r="A131" t="s">
        <v>84</v>
      </c>
      <c r="B131" t="s">
        <v>281</v>
      </c>
      <c r="C131" s="1" t="s">
        <v>282</v>
      </c>
      <c r="F131" t="s">
        <v>283</v>
      </c>
      <c r="J131" t="s">
        <v>141</v>
      </c>
      <c r="M131"/>
      <c r="N131"/>
    </row>
    <row r="132" spans="1:14" ht="28.9" hidden="1">
      <c r="A132" t="s">
        <v>84</v>
      </c>
      <c r="B132" t="s">
        <v>435</v>
      </c>
      <c r="C132" s="1" t="s">
        <v>436</v>
      </c>
      <c r="E132" t="s">
        <v>437</v>
      </c>
      <c r="J132" t="s">
        <v>141</v>
      </c>
      <c r="M132"/>
      <c r="N132"/>
    </row>
    <row r="133" spans="1:14" ht="28.9" hidden="1">
      <c r="A133" t="s">
        <v>84</v>
      </c>
      <c r="B133" t="s">
        <v>438</v>
      </c>
      <c r="C133" s="1" t="s">
        <v>439</v>
      </c>
      <c r="F133" t="s">
        <v>440</v>
      </c>
      <c r="J133" t="s">
        <v>188</v>
      </c>
      <c r="M133"/>
      <c r="N133"/>
    </row>
    <row r="134" spans="1:14" hidden="1">
      <c r="A134" t="s">
        <v>84</v>
      </c>
      <c r="B134" t="s">
        <v>156</v>
      </c>
      <c r="C134" s="1" t="s">
        <v>441</v>
      </c>
      <c r="D134" t="s">
        <v>442</v>
      </c>
      <c r="F134" t="s">
        <v>443</v>
      </c>
      <c r="J134" t="s">
        <v>141</v>
      </c>
      <c r="M134"/>
      <c r="N134"/>
    </row>
    <row r="135" spans="1:14" hidden="1">
      <c r="A135" s="2" t="s">
        <v>84</v>
      </c>
      <c r="B135" t="s">
        <v>444</v>
      </c>
      <c r="C135" s="1" t="s">
        <v>445</v>
      </c>
      <c r="D135" t="s">
        <v>446</v>
      </c>
      <c r="J135" t="s">
        <v>188</v>
      </c>
      <c r="M135"/>
      <c r="N135"/>
    </row>
    <row r="136" spans="1:14" hidden="1">
      <c r="A136" s="2" t="s">
        <v>84</v>
      </c>
      <c r="B136" t="s">
        <v>268</v>
      </c>
      <c r="C136" s="1" t="s">
        <v>447</v>
      </c>
      <c r="D136" t="s">
        <v>448</v>
      </c>
      <c r="J136" t="s">
        <v>141</v>
      </c>
      <c r="M136"/>
      <c r="N136"/>
    </row>
    <row r="137" spans="1:14" hidden="1">
      <c r="A137" t="s">
        <v>79</v>
      </c>
      <c r="B137" t="s">
        <v>438</v>
      </c>
      <c r="C137" t="s">
        <v>449</v>
      </c>
      <c r="J137" t="s">
        <v>30</v>
      </c>
      <c r="L137" t="s">
        <v>30</v>
      </c>
      <c r="M137"/>
      <c r="N137"/>
    </row>
    <row r="138" spans="1:14" hidden="1">
      <c r="A138" t="s">
        <v>79</v>
      </c>
      <c r="B138" t="s">
        <v>212</v>
      </c>
      <c r="C138" t="s">
        <v>450</v>
      </c>
      <c r="J138" t="s">
        <v>78</v>
      </c>
      <c r="L138" t="s">
        <v>78</v>
      </c>
      <c r="M138"/>
      <c r="N138"/>
    </row>
    <row r="139" spans="1:14" hidden="1">
      <c r="A139" t="s">
        <v>79</v>
      </c>
      <c r="B139" t="s">
        <v>268</v>
      </c>
      <c r="C139" t="s">
        <v>451</v>
      </c>
      <c r="F139" t="s">
        <v>452</v>
      </c>
      <c r="J139" t="s">
        <v>30</v>
      </c>
      <c r="L139" t="s">
        <v>30</v>
      </c>
      <c r="M139"/>
      <c r="N139"/>
    </row>
    <row r="140" spans="1:14" hidden="1">
      <c r="A140" t="s">
        <v>79</v>
      </c>
      <c r="B140" t="s">
        <v>453</v>
      </c>
      <c r="C140" t="s">
        <v>454</v>
      </c>
      <c r="F140" t="s">
        <v>455</v>
      </c>
      <c r="G140" s="15" t="s">
        <v>456</v>
      </c>
      <c r="J140" t="s">
        <v>30</v>
      </c>
      <c r="L140" t="s">
        <v>30</v>
      </c>
      <c r="M140"/>
      <c r="N140"/>
    </row>
    <row r="141" spans="1:14" hidden="1">
      <c r="A141" t="s">
        <v>79</v>
      </c>
      <c r="B141" t="s">
        <v>457</v>
      </c>
      <c r="C141" t="s">
        <v>458</v>
      </c>
      <c r="F141" t="s">
        <v>455</v>
      </c>
      <c r="G141" t="s">
        <v>459</v>
      </c>
      <c r="J141" t="s">
        <v>78</v>
      </c>
      <c r="L141" t="s">
        <v>460</v>
      </c>
      <c r="M141"/>
      <c r="N141"/>
    </row>
    <row r="142" spans="1:14" hidden="1">
      <c r="A142" t="s">
        <v>79</v>
      </c>
      <c r="B142" t="s">
        <v>461</v>
      </c>
      <c r="C142" t="s">
        <v>462</v>
      </c>
      <c r="G142" s="15" t="s">
        <v>463</v>
      </c>
      <c r="J142" t="s">
        <v>78</v>
      </c>
      <c r="L142" t="s">
        <v>30</v>
      </c>
      <c r="M142"/>
      <c r="N142"/>
    </row>
    <row r="143" spans="1:14" ht="28.9" hidden="1">
      <c r="A143" s="2" t="s">
        <v>79</v>
      </c>
      <c r="B143" t="s">
        <v>464</v>
      </c>
      <c r="C143" s="1" t="s">
        <v>465</v>
      </c>
      <c r="D143" t="s">
        <v>466</v>
      </c>
      <c r="G143" s="15" t="s">
        <v>467</v>
      </c>
      <c r="J143" t="s">
        <v>30</v>
      </c>
      <c r="L143" t="s">
        <v>78</v>
      </c>
      <c r="M143"/>
      <c r="N143"/>
    </row>
    <row r="144" spans="1:14" hidden="1">
      <c r="A144" t="s">
        <v>79</v>
      </c>
      <c r="B144" t="s">
        <v>468</v>
      </c>
      <c r="C144" t="s">
        <v>469</v>
      </c>
      <c r="G144" s="15" t="s">
        <v>470</v>
      </c>
      <c r="J144" t="s">
        <v>78</v>
      </c>
      <c r="L144" t="s">
        <v>78</v>
      </c>
      <c r="M144"/>
      <c r="N144"/>
    </row>
    <row r="145" spans="1:14" hidden="1">
      <c r="A145" t="s">
        <v>79</v>
      </c>
      <c r="B145" t="s">
        <v>471</v>
      </c>
      <c r="C145"/>
      <c r="G145" s="15" t="s">
        <v>472</v>
      </c>
      <c r="J145" t="s">
        <v>30</v>
      </c>
      <c r="L145" t="s">
        <v>30</v>
      </c>
      <c r="M145"/>
      <c r="N145"/>
    </row>
    <row r="146" spans="1:14" hidden="1">
      <c r="A146" t="s">
        <v>79</v>
      </c>
      <c r="B146" s="45" t="s">
        <v>473</v>
      </c>
      <c r="C146"/>
      <c r="G146" s="15" t="s">
        <v>474</v>
      </c>
      <c r="J146" t="s">
        <v>78</v>
      </c>
      <c r="L146" t="s">
        <v>78</v>
      </c>
      <c r="M146"/>
      <c r="N146"/>
    </row>
    <row r="147" spans="1:14" hidden="1">
      <c r="A147" t="s">
        <v>79</v>
      </c>
      <c r="B147" s="45" t="s">
        <v>475</v>
      </c>
      <c r="C147"/>
      <c r="G147" s="15" t="s">
        <v>476</v>
      </c>
      <c r="J147" t="s">
        <v>78</v>
      </c>
      <c r="L147" t="s">
        <v>78</v>
      </c>
      <c r="M147"/>
      <c r="N147"/>
    </row>
    <row r="148" spans="1:14" hidden="1">
      <c r="A148" t="s">
        <v>79</v>
      </c>
      <c r="B148" s="45" t="s">
        <v>477</v>
      </c>
      <c r="C148"/>
      <c r="G148" s="15" t="s">
        <v>478</v>
      </c>
      <c r="J148" t="s">
        <v>78</v>
      </c>
      <c r="L148" t="s">
        <v>78</v>
      </c>
      <c r="M148"/>
      <c r="N148"/>
    </row>
    <row r="149" spans="1:14" hidden="1">
      <c r="A149" t="s">
        <v>79</v>
      </c>
      <c r="B149" s="45" t="s">
        <v>479</v>
      </c>
      <c r="C149"/>
      <c r="G149" s="15" t="s">
        <v>480</v>
      </c>
      <c r="J149" t="s">
        <v>78</v>
      </c>
      <c r="K149" s="15"/>
      <c r="L149" t="s">
        <v>78</v>
      </c>
      <c r="M149"/>
      <c r="N149"/>
    </row>
    <row r="150" spans="1:14" hidden="1">
      <c r="A150" s="2" t="s">
        <v>79</v>
      </c>
      <c r="B150" t="s">
        <v>481</v>
      </c>
      <c r="C150" s="1" t="s">
        <v>482</v>
      </c>
      <c r="E150" t="s">
        <v>483</v>
      </c>
      <c r="G150" s="15" t="s">
        <v>484</v>
      </c>
      <c r="J150" t="s">
        <v>78</v>
      </c>
      <c r="L150" t="s">
        <v>78</v>
      </c>
      <c r="M150"/>
      <c r="N150"/>
    </row>
    <row r="151" spans="1:14" hidden="1">
      <c r="A151" s="2" t="s">
        <v>79</v>
      </c>
      <c r="B151" t="s">
        <v>485</v>
      </c>
      <c r="C151" s="1" t="s">
        <v>486</v>
      </c>
      <c r="E151" t="s">
        <v>487</v>
      </c>
      <c r="G151" s="15" t="s">
        <v>488</v>
      </c>
      <c r="J151" t="s">
        <v>78</v>
      </c>
      <c r="L151" t="s">
        <v>78</v>
      </c>
      <c r="M151"/>
      <c r="N151"/>
    </row>
    <row r="152" spans="1:14" hidden="1">
      <c r="A152" s="2" t="s">
        <v>79</v>
      </c>
      <c r="B152" t="s">
        <v>489</v>
      </c>
      <c r="C152" s="1" t="s">
        <v>490</v>
      </c>
      <c r="E152" t="s">
        <v>491</v>
      </c>
      <c r="G152" s="15" t="s">
        <v>492</v>
      </c>
      <c r="J152" t="s">
        <v>78</v>
      </c>
      <c r="L152" t="s">
        <v>78</v>
      </c>
      <c r="M152"/>
      <c r="N152"/>
    </row>
    <row r="153" spans="1:14" ht="43.15" hidden="1">
      <c r="A153" s="2" t="s">
        <v>79</v>
      </c>
      <c r="B153" t="s">
        <v>493</v>
      </c>
      <c r="C153" s="1" t="s">
        <v>494</v>
      </c>
      <c r="E153" s="15" t="s">
        <v>495</v>
      </c>
      <c r="G153" s="15" t="s">
        <v>496</v>
      </c>
      <c r="J153" t="s">
        <v>78</v>
      </c>
      <c r="L153" t="s">
        <v>78</v>
      </c>
      <c r="M153"/>
      <c r="N153"/>
    </row>
    <row r="154" spans="1:14" hidden="1">
      <c r="A154" t="s">
        <v>79</v>
      </c>
      <c r="B154" t="s">
        <v>156</v>
      </c>
      <c r="C154" t="s">
        <v>497</v>
      </c>
      <c r="F154" t="s">
        <v>158</v>
      </c>
      <c r="G154" s="15" t="s">
        <v>498</v>
      </c>
      <c r="J154" t="s">
        <v>30</v>
      </c>
      <c r="L154" t="s">
        <v>499</v>
      </c>
      <c r="M154"/>
      <c r="N154"/>
    </row>
    <row r="155" spans="1:14" hidden="1">
      <c r="A155" t="s">
        <v>79</v>
      </c>
      <c r="B155" t="s">
        <v>159</v>
      </c>
      <c r="C155" t="s">
        <v>500</v>
      </c>
      <c r="F155" t="s">
        <v>161</v>
      </c>
      <c r="G155" s="15" t="s">
        <v>501</v>
      </c>
      <c r="J155" t="s">
        <v>78</v>
      </c>
      <c r="L155" t="s">
        <v>78</v>
      </c>
      <c r="M155" s="50">
        <v>45952</v>
      </c>
      <c r="N155" t="s">
        <v>502</v>
      </c>
    </row>
    <row r="156" spans="1:14" hidden="1">
      <c r="A156" t="s">
        <v>79</v>
      </c>
      <c r="B156" t="s">
        <v>503</v>
      </c>
      <c r="C156" t="s">
        <v>504</v>
      </c>
      <c r="G156" s="15" t="s">
        <v>505</v>
      </c>
      <c r="J156" t="s">
        <v>78</v>
      </c>
      <c r="L156" t="s">
        <v>78</v>
      </c>
      <c r="M156"/>
      <c r="N156"/>
    </row>
    <row r="157" spans="1:14" hidden="1">
      <c r="A157" t="s">
        <v>79</v>
      </c>
      <c r="B157" t="s">
        <v>506</v>
      </c>
      <c r="C157" t="s">
        <v>507</v>
      </c>
      <c r="F157" t="s">
        <v>149</v>
      </c>
      <c r="G157" s="15" t="s">
        <v>508</v>
      </c>
      <c r="J157" t="s">
        <v>78</v>
      </c>
      <c r="L157" t="s">
        <v>78</v>
      </c>
      <c r="M157"/>
      <c r="N157"/>
    </row>
    <row r="158" spans="1:14" hidden="1">
      <c r="A158" t="s">
        <v>79</v>
      </c>
      <c r="B158" t="s">
        <v>509</v>
      </c>
      <c r="C158" t="s">
        <v>510</v>
      </c>
      <c r="F158" t="s">
        <v>511</v>
      </c>
      <c r="G158" s="15" t="s">
        <v>512</v>
      </c>
      <c r="J158" t="s">
        <v>78</v>
      </c>
      <c r="L158" t="s">
        <v>78</v>
      </c>
      <c r="M158"/>
      <c r="N158"/>
    </row>
    <row r="159" spans="1:14" hidden="1">
      <c r="A159" t="s">
        <v>79</v>
      </c>
      <c r="B159" t="s">
        <v>513</v>
      </c>
      <c r="C159" t="s">
        <v>514</v>
      </c>
      <c r="G159" s="15" t="s">
        <v>515</v>
      </c>
      <c r="J159" t="s">
        <v>78</v>
      </c>
      <c r="L159" t="s">
        <v>30</v>
      </c>
      <c r="M159"/>
      <c r="N159"/>
    </row>
    <row r="160" spans="1:14" hidden="1">
      <c r="A160" t="s">
        <v>79</v>
      </c>
      <c r="B160" t="s">
        <v>516</v>
      </c>
      <c r="C160" t="s">
        <v>517</v>
      </c>
      <c r="F160" t="s">
        <v>518</v>
      </c>
      <c r="G160" s="15" t="s">
        <v>519</v>
      </c>
      <c r="J160" t="s">
        <v>78</v>
      </c>
      <c r="L160" t="s">
        <v>78</v>
      </c>
      <c r="M160"/>
      <c r="N160"/>
    </row>
    <row r="161" spans="1:14" hidden="1">
      <c r="A161" t="s">
        <v>79</v>
      </c>
      <c r="B161" t="s">
        <v>520</v>
      </c>
      <c r="C161" t="s">
        <v>521</v>
      </c>
      <c r="G161" s="15" t="s">
        <v>522</v>
      </c>
      <c r="J161" t="s">
        <v>78</v>
      </c>
      <c r="L161" t="s">
        <v>78</v>
      </c>
      <c r="M161"/>
      <c r="N161"/>
    </row>
    <row r="162" spans="1:14" hidden="1">
      <c r="A162" t="s">
        <v>79</v>
      </c>
      <c r="B162" t="s">
        <v>523</v>
      </c>
      <c r="C162" t="s">
        <v>524</v>
      </c>
      <c r="G162" s="15" t="s">
        <v>93</v>
      </c>
      <c r="J162" t="s">
        <v>78</v>
      </c>
      <c r="L162" t="s">
        <v>78</v>
      </c>
      <c r="M162"/>
      <c r="N162"/>
    </row>
    <row r="163" spans="1:14" hidden="1">
      <c r="A163" t="s">
        <v>79</v>
      </c>
      <c r="B163" t="s">
        <v>525</v>
      </c>
      <c r="C163"/>
      <c r="G163" s="15" t="s">
        <v>526</v>
      </c>
      <c r="J163" t="s">
        <v>30</v>
      </c>
      <c r="L163" t="s">
        <v>30</v>
      </c>
      <c r="M163"/>
      <c r="N163"/>
    </row>
    <row r="164" spans="1:14" hidden="1">
      <c r="A164" t="s">
        <v>79</v>
      </c>
      <c r="B164" s="3" t="s">
        <v>527</v>
      </c>
      <c r="C164" t="s">
        <v>528</v>
      </c>
      <c r="G164" s="15" t="s">
        <v>529</v>
      </c>
      <c r="J164" t="s">
        <v>30</v>
      </c>
      <c r="L164" t="s">
        <v>30</v>
      </c>
      <c r="M164"/>
      <c r="N164"/>
    </row>
    <row r="165" spans="1:14" hidden="1">
      <c r="A165" s="2" t="s">
        <v>79</v>
      </c>
      <c r="B165" s="3" t="s">
        <v>530</v>
      </c>
      <c r="C165" s="1" t="s">
        <v>531</v>
      </c>
      <c r="G165" s="15" t="s">
        <v>532</v>
      </c>
      <c r="J165" t="s">
        <v>30</v>
      </c>
      <c r="L165" t="s">
        <v>30</v>
      </c>
      <c r="M165"/>
      <c r="N165"/>
    </row>
    <row r="166" spans="1:14" hidden="1">
      <c r="A166" t="s">
        <v>79</v>
      </c>
      <c r="B166" t="s">
        <v>533</v>
      </c>
      <c r="C166" t="s">
        <v>534</v>
      </c>
      <c r="G166" s="15" t="s">
        <v>535</v>
      </c>
      <c r="J166" t="s">
        <v>78</v>
      </c>
      <c r="L166" t="s">
        <v>30</v>
      </c>
      <c r="M166"/>
      <c r="N166"/>
    </row>
    <row r="167" spans="1:14" hidden="1">
      <c r="A167" s="2" t="s">
        <v>79</v>
      </c>
      <c r="B167" t="s">
        <v>276</v>
      </c>
      <c r="C167" s="1" t="s">
        <v>277</v>
      </c>
      <c r="F167" t="s">
        <v>278</v>
      </c>
      <c r="G167" s="15" t="s">
        <v>536</v>
      </c>
      <c r="J167" t="s">
        <v>30</v>
      </c>
      <c r="L167" t="s">
        <v>30</v>
      </c>
      <c r="M167"/>
      <c r="N167"/>
    </row>
    <row r="168" spans="1:14" hidden="1">
      <c r="A168" s="2" t="s">
        <v>79</v>
      </c>
      <c r="B168" t="s">
        <v>279</v>
      </c>
      <c r="C168" s="1" t="s">
        <v>280</v>
      </c>
      <c r="F168" t="s">
        <v>191</v>
      </c>
      <c r="G168" s="15" t="s">
        <v>537</v>
      </c>
      <c r="J168" t="s">
        <v>30</v>
      </c>
      <c r="L168" t="s">
        <v>78</v>
      </c>
      <c r="M168"/>
      <c r="N168"/>
    </row>
    <row r="169" spans="1:14" hidden="1">
      <c r="A169" s="2" t="s">
        <v>79</v>
      </c>
      <c r="B169" t="s">
        <v>281</v>
      </c>
      <c r="C169" s="1" t="s">
        <v>282</v>
      </c>
      <c r="F169" t="s">
        <v>283</v>
      </c>
      <c r="G169" s="15" t="s">
        <v>538</v>
      </c>
      <c r="J169" t="s">
        <v>30</v>
      </c>
      <c r="L169" t="s">
        <v>78</v>
      </c>
      <c r="M169"/>
      <c r="N169"/>
    </row>
    <row r="170" spans="1:14" hidden="1">
      <c r="A170" t="s">
        <v>63</v>
      </c>
      <c r="B170" t="s">
        <v>159</v>
      </c>
      <c r="C170" t="s">
        <v>539</v>
      </c>
      <c r="F170" t="s">
        <v>140</v>
      </c>
      <c r="G170" s="15" t="s">
        <v>540</v>
      </c>
      <c r="J170" t="s">
        <v>541</v>
      </c>
      <c r="M170"/>
      <c r="N170"/>
    </row>
    <row r="171" spans="1:14" hidden="1">
      <c r="A171" t="s">
        <v>63</v>
      </c>
      <c r="B171" t="s">
        <v>542</v>
      </c>
      <c r="C171"/>
      <c r="G171" s="15" t="s">
        <v>543</v>
      </c>
      <c r="J171" t="s">
        <v>188</v>
      </c>
      <c r="M171"/>
      <c r="N171"/>
    </row>
    <row r="172" spans="1:14" hidden="1">
      <c r="A172" t="s">
        <v>63</v>
      </c>
      <c r="B172" t="s">
        <v>544</v>
      </c>
      <c r="C172" t="s">
        <v>545</v>
      </c>
      <c r="G172" s="15" t="s">
        <v>546</v>
      </c>
      <c r="J172" t="s">
        <v>188</v>
      </c>
      <c r="M172"/>
      <c r="N172"/>
    </row>
    <row r="173" spans="1:14" hidden="1">
      <c r="A173" t="s">
        <v>63</v>
      </c>
      <c r="B173" t="s">
        <v>276</v>
      </c>
      <c r="C173" s="1" t="s">
        <v>277</v>
      </c>
      <c r="F173" t="s">
        <v>278</v>
      </c>
      <c r="G173" s="15" t="s">
        <v>547</v>
      </c>
      <c r="J173" t="s">
        <v>141</v>
      </c>
      <c r="M173"/>
      <c r="N173"/>
    </row>
    <row r="174" spans="1:14" hidden="1">
      <c r="A174" t="s">
        <v>63</v>
      </c>
      <c r="B174" t="s">
        <v>279</v>
      </c>
      <c r="C174" s="1" t="s">
        <v>280</v>
      </c>
      <c r="F174" t="s">
        <v>191</v>
      </c>
      <c r="G174" s="15" t="s">
        <v>548</v>
      </c>
      <c r="J174" t="s">
        <v>141</v>
      </c>
      <c r="M174"/>
      <c r="N174"/>
    </row>
    <row r="175" spans="1:14" hidden="1">
      <c r="A175" t="s">
        <v>63</v>
      </c>
      <c r="B175" t="s">
        <v>281</v>
      </c>
      <c r="C175" s="1" t="s">
        <v>282</v>
      </c>
      <c r="F175" t="s">
        <v>283</v>
      </c>
      <c r="G175" s="15" t="s">
        <v>549</v>
      </c>
      <c r="J175" t="s">
        <v>141</v>
      </c>
      <c r="M175"/>
      <c r="N175"/>
    </row>
    <row r="176" spans="1:14" hidden="1">
      <c r="A176" t="s">
        <v>63</v>
      </c>
      <c r="B176" t="s">
        <v>156</v>
      </c>
      <c r="C176" s="1"/>
      <c r="M176" s="50">
        <v>45938</v>
      </c>
      <c r="N176" t="s">
        <v>550</v>
      </c>
    </row>
    <row r="177" spans="1:14" hidden="1">
      <c r="A177" t="s">
        <v>73</v>
      </c>
      <c r="B177" t="s">
        <v>159</v>
      </c>
      <c r="C177"/>
      <c r="F177" t="s">
        <v>161</v>
      </c>
      <c r="G177" s="15" t="s">
        <v>551</v>
      </c>
      <c r="J177" t="s">
        <v>141</v>
      </c>
      <c r="M177"/>
      <c r="N177"/>
    </row>
    <row r="178" spans="1:14" hidden="1">
      <c r="A178" t="s">
        <v>73</v>
      </c>
      <c r="B178" t="s">
        <v>156</v>
      </c>
      <c r="C178"/>
      <c r="F178" t="s">
        <v>158</v>
      </c>
      <c r="J178" t="s">
        <v>141</v>
      </c>
      <c r="M178"/>
      <c r="N178"/>
    </row>
    <row r="179" spans="1:14" hidden="1">
      <c r="A179" t="s">
        <v>73</v>
      </c>
      <c r="B179" t="s">
        <v>234</v>
      </c>
      <c r="C179" t="s">
        <v>552</v>
      </c>
      <c r="F179" t="s">
        <v>195</v>
      </c>
      <c r="J179" t="s">
        <v>188</v>
      </c>
      <c r="M179"/>
      <c r="N179"/>
    </row>
    <row r="180" spans="1:14" hidden="1">
      <c r="A180" t="s">
        <v>73</v>
      </c>
      <c r="B180" t="s">
        <v>236</v>
      </c>
      <c r="C180" t="s">
        <v>553</v>
      </c>
      <c r="F180" t="s">
        <v>195</v>
      </c>
      <c r="J180" t="s">
        <v>188</v>
      </c>
      <c r="M180"/>
      <c r="N180"/>
    </row>
    <row r="181" spans="1:14" hidden="1">
      <c r="A181" t="s">
        <v>73</v>
      </c>
      <c r="B181" t="s">
        <v>554</v>
      </c>
      <c r="C181" t="s">
        <v>555</v>
      </c>
      <c r="F181" t="s">
        <v>152</v>
      </c>
      <c r="J181" t="s">
        <v>188</v>
      </c>
      <c r="M181"/>
      <c r="N181"/>
    </row>
    <row r="182" spans="1:14" hidden="1">
      <c r="A182" t="s">
        <v>107</v>
      </c>
      <c r="B182" t="s">
        <v>268</v>
      </c>
      <c r="C182" s="1" t="s">
        <v>556</v>
      </c>
      <c r="D182" t="s">
        <v>557</v>
      </c>
      <c r="E182" t="s">
        <v>558</v>
      </c>
      <c r="F182" t="s">
        <v>140</v>
      </c>
      <c r="J182" t="s">
        <v>141</v>
      </c>
      <c r="M182"/>
      <c r="N182"/>
    </row>
    <row r="183" spans="1:14" hidden="1">
      <c r="A183" t="s">
        <v>107</v>
      </c>
      <c r="B183" t="s">
        <v>559</v>
      </c>
      <c r="C183" s="1" t="s">
        <v>560</v>
      </c>
      <c r="D183" t="s">
        <v>561</v>
      </c>
      <c r="F183" t="s">
        <v>562</v>
      </c>
      <c r="J183" t="s">
        <v>141</v>
      </c>
      <c r="M183"/>
      <c r="N183"/>
    </row>
    <row r="184" spans="1:14" hidden="1">
      <c r="A184" t="s">
        <v>107</v>
      </c>
      <c r="B184" t="s">
        <v>212</v>
      </c>
      <c r="C184" s="1" t="s">
        <v>563</v>
      </c>
      <c r="F184" t="s">
        <v>191</v>
      </c>
      <c r="J184" t="s">
        <v>141</v>
      </c>
      <c r="M184"/>
      <c r="N184"/>
    </row>
    <row r="185" spans="1:14" hidden="1">
      <c r="A185" t="s">
        <v>107</v>
      </c>
      <c r="B185" t="s">
        <v>564</v>
      </c>
      <c r="C185" s="1" t="s">
        <v>565</v>
      </c>
      <c r="F185" t="s">
        <v>152</v>
      </c>
      <c r="G185" s="15" t="s">
        <v>566</v>
      </c>
      <c r="J185" t="s">
        <v>141</v>
      </c>
      <c r="M185"/>
      <c r="N185"/>
    </row>
    <row r="186" spans="1:14" hidden="1">
      <c r="A186" t="s">
        <v>107</v>
      </c>
      <c r="B186" t="s">
        <v>276</v>
      </c>
      <c r="C186" s="1" t="s">
        <v>277</v>
      </c>
      <c r="F186" t="s">
        <v>278</v>
      </c>
      <c r="J186" t="s">
        <v>141</v>
      </c>
      <c r="M186"/>
      <c r="N186"/>
    </row>
    <row r="187" spans="1:14" hidden="1">
      <c r="A187" t="s">
        <v>107</v>
      </c>
      <c r="B187" t="s">
        <v>279</v>
      </c>
      <c r="C187" s="1" t="s">
        <v>280</v>
      </c>
      <c r="F187" t="s">
        <v>191</v>
      </c>
      <c r="J187" t="s">
        <v>141</v>
      </c>
      <c r="M187"/>
      <c r="N187"/>
    </row>
    <row r="188" spans="1:14" hidden="1">
      <c r="A188" t="s">
        <v>107</v>
      </c>
      <c r="B188" t="s">
        <v>281</v>
      </c>
      <c r="C188" s="1" t="s">
        <v>282</v>
      </c>
      <c r="F188" t="s">
        <v>283</v>
      </c>
      <c r="J188" t="s">
        <v>141</v>
      </c>
      <c r="M188"/>
      <c r="N188"/>
    </row>
    <row r="189" spans="1:14" hidden="1">
      <c r="A189" s="2" t="s">
        <v>107</v>
      </c>
      <c r="B189" t="s">
        <v>567</v>
      </c>
      <c r="C189" s="1" t="s">
        <v>568</v>
      </c>
      <c r="D189" t="s">
        <v>569</v>
      </c>
      <c r="E189" t="s">
        <v>570</v>
      </c>
      <c r="F189" t="s">
        <v>571</v>
      </c>
      <c r="G189" s="15">
        <v>0.8</v>
      </c>
      <c r="J189" t="s">
        <v>141</v>
      </c>
      <c r="M189"/>
      <c r="N189"/>
    </row>
    <row r="190" spans="1:14" hidden="1">
      <c r="A190" t="s">
        <v>121</v>
      </c>
      <c r="B190" t="s">
        <v>572</v>
      </c>
      <c r="C190" s="1" t="s">
        <v>573</v>
      </c>
      <c r="F190" t="s">
        <v>140</v>
      </c>
      <c r="J190" t="s">
        <v>78</v>
      </c>
      <c r="K190" t="s">
        <v>30</v>
      </c>
      <c r="M190"/>
      <c r="N190"/>
    </row>
    <row r="191" spans="1:14" hidden="1">
      <c r="A191" t="s">
        <v>121</v>
      </c>
      <c r="B191" t="s">
        <v>228</v>
      </c>
      <c r="C191" s="1" t="s">
        <v>574</v>
      </c>
      <c r="F191" t="s">
        <v>393</v>
      </c>
      <c r="J191" t="s">
        <v>78</v>
      </c>
      <c r="K191" t="s">
        <v>30</v>
      </c>
      <c r="M191"/>
      <c r="N191"/>
    </row>
    <row r="192" spans="1:14" hidden="1">
      <c r="A192" t="s">
        <v>121</v>
      </c>
      <c r="B192" t="s">
        <v>156</v>
      </c>
      <c r="C192" s="1" t="s">
        <v>575</v>
      </c>
      <c r="F192" t="s">
        <v>158</v>
      </c>
      <c r="J192" t="s">
        <v>78</v>
      </c>
      <c r="K192" t="s">
        <v>30</v>
      </c>
      <c r="M192"/>
      <c r="N192"/>
    </row>
    <row r="193" spans="1:14" hidden="1">
      <c r="A193" t="s">
        <v>121</v>
      </c>
      <c r="B193" t="s">
        <v>398</v>
      </c>
      <c r="C193" s="1" t="s">
        <v>576</v>
      </c>
      <c r="D193" t="s">
        <v>577</v>
      </c>
      <c r="E193" t="s">
        <v>578</v>
      </c>
      <c r="F193" t="s">
        <v>400</v>
      </c>
      <c r="G193" s="15" t="s">
        <v>579</v>
      </c>
      <c r="J193" t="s">
        <v>78</v>
      </c>
      <c r="K193" t="s">
        <v>30</v>
      </c>
      <c r="M193"/>
      <c r="N193"/>
    </row>
    <row r="194" spans="1:14" hidden="1">
      <c r="A194" t="s">
        <v>121</v>
      </c>
      <c r="B194" t="s">
        <v>580</v>
      </c>
      <c r="C194" s="1" t="s">
        <v>581</v>
      </c>
      <c r="D194" t="s">
        <v>582</v>
      </c>
      <c r="E194" t="s">
        <v>583</v>
      </c>
      <c r="F194" t="s">
        <v>195</v>
      </c>
      <c r="J194" t="s">
        <v>78</v>
      </c>
      <c r="K194" t="s">
        <v>78</v>
      </c>
      <c r="M194"/>
      <c r="N194"/>
    </row>
    <row r="195" spans="1:14" hidden="1">
      <c r="A195" t="s">
        <v>121</v>
      </c>
      <c r="B195" t="s">
        <v>281</v>
      </c>
      <c r="C195" s="1" t="s">
        <v>282</v>
      </c>
      <c r="F195" t="s">
        <v>397</v>
      </c>
      <c r="J195" t="s">
        <v>78</v>
      </c>
      <c r="K195" t="s">
        <v>78</v>
      </c>
      <c r="M195"/>
      <c r="N195"/>
    </row>
    <row r="196" spans="1:14" hidden="1">
      <c r="A196" t="s">
        <v>121</v>
      </c>
      <c r="B196" t="s">
        <v>276</v>
      </c>
      <c r="C196" s="1" t="s">
        <v>277</v>
      </c>
      <c r="F196" t="s">
        <v>191</v>
      </c>
      <c r="J196" t="s">
        <v>78</v>
      </c>
      <c r="K196" t="s">
        <v>78</v>
      </c>
      <c r="M196"/>
      <c r="N196"/>
    </row>
    <row r="197" spans="1:14" hidden="1">
      <c r="A197" t="s">
        <v>121</v>
      </c>
      <c r="B197" t="s">
        <v>279</v>
      </c>
      <c r="C197" s="1" t="s">
        <v>280</v>
      </c>
      <c r="F197" t="s">
        <v>191</v>
      </c>
      <c r="J197" t="s">
        <v>78</v>
      </c>
      <c r="K197" t="s">
        <v>78</v>
      </c>
      <c r="M197"/>
      <c r="N197"/>
    </row>
    <row r="198" spans="1:14" ht="15">
      <c r="A198" s="36" t="s">
        <v>56</v>
      </c>
      <c r="B198" t="s">
        <v>287</v>
      </c>
      <c r="C198" s="1" t="s">
        <v>584</v>
      </c>
      <c r="D198" t="s">
        <v>585</v>
      </c>
      <c r="F198" t="s">
        <v>586</v>
      </c>
      <c r="N198"/>
    </row>
    <row r="199" spans="1:14" ht="28.9" hidden="1">
      <c r="A199" s="2" t="s">
        <v>68</v>
      </c>
      <c r="B199" t="s">
        <v>156</v>
      </c>
      <c r="C199" s="52" t="s">
        <v>587</v>
      </c>
      <c r="F199" t="s">
        <v>140</v>
      </c>
      <c r="M199"/>
    </row>
    <row r="200" spans="1:14" hidden="1">
      <c r="A200" s="2" t="s">
        <v>68</v>
      </c>
      <c r="B200" t="s">
        <v>588</v>
      </c>
      <c r="C200" s="52" t="s">
        <v>589</v>
      </c>
      <c r="E200" t="s">
        <v>590</v>
      </c>
      <c r="F200" t="s">
        <v>591</v>
      </c>
      <c r="M200"/>
    </row>
    <row r="201" spans="1:14" hidden="1">
      <c r="A201" s="2" t="s">
        <v>68</v>
      </c>
      <c r="B201" t="s">
        <v>592</v>
      </c>
      <c r="C201" s="52" t="s">
        <v>593</v>
      </c>
      <c r="E201" t="s">
        <v>594</v>
      </c>
      <c r="F201" t="s">
        <v>591</v>
      </c>
      <c r="M201"/>
    </row>
    <row r="202" spans="1:14" hidden="1">
      <c r="A202" s="2" t="s">
        <v>68</v>
      </c>
      <c r="B202" t="s">
        <v>595</v>
      </c>
      <c r="C202" s="52" t="s">
        <v>596</v>
      </c>
      <c r="E202" t="s">
        <v>597</v>
      </c>
      <c r="F202" t="s">
        <v>591</v>
      </c>
      <c r="M202"/>
    </row>
    <row r="203" spans="1:14" hidden="1">
      <c r="A203" s="2" t="s">
        <v>68</v>
      </c>
      <c r="B203" t="s">
        <v>598</v>
      </c>
      <c r="C203" s="52" t="s">
        <v>599</v>
      </c>
      <c r="D203" t="s">
        <v>600</v>
      </c>
      <c r="E203" t="s">
        <v>601</v>
      </c>
      <c r="F203" t="s">
        <v>591</v>
      </c>
      <c r="M203"/>
    </row>
    <row r="204" spans="1:14" hidden="1">
      <c r="A204" s="2" t="s">
        <v>68</v>
      </c>
      <c r="B204" t="s">
        <v>602</v>
      </c>
      <c r="C204" s="52" t="s">
        <v>603</v>
      </c>
      <c r="E204" t="s">
        <v>604</v>
      </c>
      <c r="F204" t="s">
        <v>591</v>
      </c>
      <c r="M204"/>
    </row>
    <row r="205" spans="1:14" hidden="1">
      <c r="A205" s="2" t="s">
        <v>68</v>
      </c>
      <c r="B205" t="s">
        <v>605</v>
      </c>
      <c r="C205" s="52" t="s">
        <v>606</v>
      </c>
      <c r="E205" t="s">
        <v>607</v>
      </c>
      <c r="F205" t="s">
        <v>591</v>
      </c>
      <c r="M205"/>
    </row>
    <row r="206" spans="1:14" hidden="1">
      <c r="A206" s="2" t="s">
        <v>68</v>
      </c>
      <c r="B206" t="s">
        <v>608</v>
      </c>
      <c r="C206" s="52" t="s">
        <v>609</v>
      </c>
      <c r="E206" t="s">
        <v>610</v>
      </c>
      <c r="F206" t="s">
        <v>591</v>
      </c>
      <c r="M206"/>
    </row>
    <row r="207" spans="1:14" hidden="1">
      <c r="A207" s="2" t="s">
        <v>68</v>
      </c>
      <c r="B207" t="s">
        <v>611</v>
      </c>
      <c r="C207" s="52" t="s">
        <v>612</v>
      </c>
      <c r="E207" t="s">
        <v>610</v>
      </c>
      <c r="F207" t="s">
        <v>591</v>
      </c>
      <c r="M207"/>
    </row>
    <row r="208" spans="1:14" hidden="1">
      <c r="A208" s="2" t="s">
        <v>68</v>
      </c>
      <c r="B208" t="s">
        <v>613</v>
      </c>
      <c r="C208" s="52" t="s">
        <v>614</v>
      </c>
      <c r="E208" t="s">
        <v>610</v>
      </c>
      <c r="F208" t="s">
        <v>591</v>
      </c>
      <c r="M208"/>
    </row>
    <row r="209" spans="1:13" hidden="1">
      <c r="A209" s="2" t="s">
        <v>68</v>
      </c>
      <c r="B209" t="s">
        <v>615</v>
      </c>
      <c r="C209" s="52" t="s">
        <v>616</v>
      </c>
      <c r="E209" t="s">
        <v>610</v>
      </c>
      <c r="F209" t="s">
        <v>591</v>
      </c>
      <c r="M209"/>
    </row>
    <row r="210" spans="1:13" hidden="1">
      <c r="A210" s="2" t="s">
        <v>68</v>
      </c>
      <c r="B210" t="s">
        <v>617</v>
      </c>
      <c r="C210" s="52" t="s">
        <v>618</v>
      </c>
      <c r="E210" t="s">
        <v>610</v>
      </c>
      <c r="F210" t="s">
        <v>591</v>
      </c>
      <c r="M210"/>
    </row>
    <row r="211" spans="1:13" hidden="1">
      <c r="A211" s="2" t="s">
        <v>68</v>
      </c>
      <c r="B211" t="s">
        <v>619</v>
      </c>
      <c r="C211" s="52" t="s">
        <v>620</v>
      </c>
      <c r="D211" t="s">
        <v>621</v>
      </c>
      <c r="E211" t="s">
        <v>622</v>
      </c>
      <c r="F211" t="s">
        <v>591</v>
      </c>
      <c r="M211"/>
    </row>
    <row r="212" spans="1:13" hidden="1">
      <c r="A212" s="2" t="s">
        <v>68</v>
      </c>
      <c r="B212" t="s">
        <v>623</v>
      </c>
      <c r="C212" s="52" t="s">
        <v>624</v>
      </c>
      <c r="F212" t="s">
        <v>591</v>
      </c>
      <c r="M212"/>
    </row>
    <row r="213" spans="1:13" hidden="1">
      <c r="A213" s="2" t="s">
        <v>68</v>
      </c>
      <c r="B213" t="s">
        <v>625</v>
      </c>
      <c r="C213" s="52" t="s">
        <v>626</v>
      </c>
      <c r="E213" t="s">
        <v>627</v>
      </c>
      <c r="F213" t="s">
        <v>591</v>
      </c>
      <c r="M213"/>
    </row>
    <row r="214" spans="1:13" ht="28.9" hidden="1">
      <c r="A214" s="2" t="s">
        <v>68</v>
      </c>
      <c r="B214" t="s">
        <v>628</v>
      </c>
      <c r="C214" s="52" t="s">
        <v>629</v>
      </c>
      <c r="E214" t="s">
        <v>630</v>
      </c>
      <c r="F214" t="s">
        <v>591</v>
      </c>
      <c r="M214"/>
    </row>
    <row r="215" spans="1:13" hidden="1">
      <c r="A215" s="2" t="s">
        <v>68</v>
      </c>
      <c r="B215" t="s">
        <v>631</v>
      </c>
      <c r="C215" s="52" t="s">
        <v>632</v>
      </c>
      <c r="E215" t="s">
        <v>633</v>
      </c>
      <c r="F215" t="s">
        <v>634</v>
      </c>
      <c r="M215"/>
    </row>
    <row r="216" spans="1:13" hidden="1">
      <c r="A216" s="2" t="s">
        <v>68</v>
      </c>
      <c r="B216" t="s">
        <v>635</v>
      </c>
      <c r="C216" s="52" t="s">
        <v>636</v>
      </c>
      <c r="E216" t="s">
        <v>637</v>
      </c>
      <c r="F216" t="s">
        <v>591</v>
      </c>
      <c r="M216"/>
    </row>
    <row r="217" spans="1:13" hidden="1">
      <c r="A217" s="2" t="s">
        <v>68</v>
      </c>
      <c r="B217" t="s">
        <v>638</v>
      </c>
      <c r="C217" s="52" t="s">
        <v>639</v>
      </c>
      <c r="E217" t="s">
        <v>640</v>
      </c>
      <c r="F217" t="s">
        <v>591</v>
      </c>
      <c r="M217"/>
    </row>
    <row r="218" spans="1:13" hidden="1">
      <c r="A218" s="2" t="s">
        <v>68</v>
      </c>
      <c r="B218" t="s">
        <v>641</v>
      </c>
      <c r="C218" s="52" t="s">
        <v>642</v>
      </c>
      <c r="E218" t="s">
        <v>643</v>
      </c>
      <c r="F218" t="s">
        <v>591</v>
      </c>
      <c r="M218"/>
    </row>
    <row r="219" spans="1:13" hidden="1">
      <c r="A219" s="2" t="s">
        <v>68</v>
      </c>
      <c r="B219" t="s">
        <v>644</v>
      </c>
      <c r="C219" s="52" t="s">
        <v>645</v>
      </c>
      <c r="E219" t="s">
        <v>637</v>
      </c>
      <c r="F219" t="s">
        <v>591</v>
      </c>
      <c r="M219"/>
    </row>
    <row r="220" spans="1:13" hidden="1">
      <c r="A220" s="2" t="s">
        <v>68</v>
      </c>
      <c r="B220" t="s">
        <v>646</v>
      </c>
      <c r="C220" s="52" t="s">
        <v>647</v>
      </c>
      <c r="E220" t="s">
        <v>648</v>
      </c>
      <c r="F220" t="s">
        <v>591</v>
      </c>
      <c r="M220"/>
    </row>
    <row r="221" spans="1:13" ht="28.9" hidden="1">
      <c r="A221" s="2" t="s">
        <v>68</v>
      </c>
      <c r="B221" t="s">
        <v>649</v>
      </c>
      <c r="C221" s="52" t="s">
        <v>650</v>
      </c>
      <c r="E221" t="s">
        <v>651</v>
      </c>
      <c r="F221" t="s">
        <v>591</v>
      </c>
      <c r="M221"/>
    </row>
    <row r="222" spans="1:13" hidden="1">
      <c r="A222" s="2" t="s">
        <v>68</v>
      </c>
      <c r="B222" t="s">
        <v>652</v>
      </c>
      <c r="C222" s="52" t="s">
        <v>653</v>
      </c>
      <c r="D222" t="s">
        <v>654</v>
      </c>
      <c r="E222" t="s">
        <v>655</v>
      </c>
      <c r="F222" t="s">
        <v>591</v>
      </c>
      <c r="M222"/>
    </row>
    <row r="223" spans="1:13" hidden="1">
      <c r="A223" s="2" t="s">
        <v>68</v>
      </c>
      <c r="B223" t="s">
        <v>656</v>
      </c>
      <c r="C223" s="52" t="s">
        <v>657</v>
      </c>
      <c r="D223" t="s">
        <v>654</v>
      </c>
      <c r="E223" t="s">
        <v>655</v>
      </c>
      <c r="F223" t="s">
        <v>591</v>
      </c>
      <c r="M223"/>
    </row>
    <row r="224" spans="1:13" hidden="1">
      <c r="A224" s="2" t="s">
        <v>68</v>
      </c>
      <c r="B224" t="s">
        <v>658</v>
      </c>
      <c r="C224" s="52" t="s">
        <v>659</v>
      </c>
      <c r="E224" t="s">
        <v>660</v>
      </c>
      <c r="F224" t="s">
        <v>634</v>
      </c>
      <c r="M224"/>
    </row>
    <row r="225" spans="1:13" hidden="1">
      <c r="A225" s="2" t="s">
        <v>68</v>
      </c>
      <c r="B225" t="s">
        <v>661</v>
      </c>
      <c r="C225" s="52" t="s">
        <v>662</v>
      </c>
      <c r="E225" t="s">
        <v>660</v>
      </c>
      <c r="F225" t="s">
        <v>634</v>
      </c>
      <c r="M225"/>
    </row>
    <row r="226" spans="1:13" hidden="1">
      <c r="A226" s="2" t="s">
        <v>68</v>
      </c>
      <c r="B226" t="s">
        <v>663</v>
      </c>
      <c r="C226" s="52" t="s">
        <v>664</v>
      </c>
      <c r="E226" t="s">
        <v>637</v>
      </c>
      <c r="F226" t="s">
        <v>591</v>
      </c>
      <c r="M226"/>
    </row>
    <row r="227" spans="1:13" hidden="1">
      <c r="A227" s="2" t="s">
        <v>68</v>
      </c>
      <c r="B227" t="s">
        <v>665</v>
      </c>
      <c r="C227" s="52" t="s">
        <v>666</v>
      </c>
      <c r="E227" t="s">
        <v>667</v>
      </c>
      <c r="F227" t="s">
        <v>634</v>
      </c>
      <c r="M227"/>
    </row>
    <row r="228" spans="1:13" hidden="1">
      <c r="A228" s="2" t="s">
        <v>68</v>
      </c>
      <c r="B228" t="s">
        <v>668</v>
      </c>
      <c r="C228" s="52" t="s">
        <v>669</v>
      </c>
      <c r="E228" t="s">
        <v>670</v>
      </c>
      <c r="F228" t="s">
        <v>591</v>
      </c>
      <c r="M228"/>
    </row>
    <row r="229" spans="1:13" hidden="1">
      <c r="A229" s="2" t="s">
        <v>68</v>
      </c>
      <c r="B229" t="s">
        <v>671</v>
      </c>
      <c r="C229" s="52" t="s">
        <v>672</v>
      </c>
      <c r="E229" t="s">
        <v>673</v>
      </c>
      <c r="F229" t="s">
        <v>591</v>
      </c>
      <c r="M229"/>
    </row>
    <row r="230" spans="1:13" hidden="1">
      <c r="A230" s="2" t="s">
        <v>68</v>
      </c>
      <c r="B230" t="s">
        <v>674</v>
      </c>
      <c r="C230" s="52" t="s">
        <v>675</v>
      </c>
      <c r="E230" t="s">
        <v>673</v>
      </c>
      <c r="F230" t="s">
        <v>591</v>
      </c>
      <c r="M230"/>
    </row>
    <row r="231" spans="1:13" hidden="1">
      <c r="A231" s="2" t="s">
        <v>68</v>
      </c>
      <c r="B231" t="s">
        <v>676</v>
      </c>
      <c r="C231" s="52" t="s">
        <v>677</v>
      </c>
      <c r="E231" t="s">
        <v>673</v>
      </c>
      <c r="F231" t="s">
        <v>591</v>
      </c>
      <c r="M231"/>
    </row>
    <row r="232" spans="1:13" hidden="1">
      <c r="A232" s="2" t="s">
        <v>68</v>
      </c>
      <c r="B232" t="s">
        <v>678</v>
      </c>
      <c r="C232" s="52" t="s">
        <v>679</v>
      </c>
      <c r="E232" t="s">
        <v>680</v>
      </c>
      <c r="F232" t="s">
        <v>591</v>
      </c>
      <c r="M232"/>
    </row>
    <row r="233" spans="1:13" hidden="1">
      <c r="A233" s="2" t="s">
        <v>68</v>
      </c>
      <c r="B233" t="s">
        <v>681</v>
      </c>
      <c r="C233" s="52" t="s">
        <v>682</v>
      </c>
      <c r="E233" t="s">
        <v>680</v>
      </c>
      <c r="F233" t="s">
        <v>591</v>
      </c>
      <c r="M233"/>
    </row>
    <row r="234" spans="1:13" hidden="1">
      <c r="A234" s="2" t="s">
        <v>68</v>
      </c>
      <c r="B234" t="s">
        <v>683</v>
      </c>
      <c r="C234" s="52" t="s">
        <v>684</v>
      </c>
      <c r="E234" t="s">
        <v>685</v>
      </c>
      <c r="F234" t="s">
        <v>591</v>
      </c>
      <c r="M234"/>
    </row>
    <row r="235" spans="1:13" hidden="1">
      <c r="A235" s="2" t="s">
        <v>68</v>
      </c>
      <c r="B235" t="s">
        <v>686</v>
      </c>
      <c r="C235" s="52" t="s">
        <v>687</v>
      </c>
      <c r="E235" t="s">
        <v>685</v>
      </c>
      <c r="F235" t="s">
        <v>591</v>
      </c>
      <c r="M235"/>
    </row>
    <row r="236" spans="1:13" hidden="1">
      <c r="A236" s="2" t="s">
        <v>68</v>
      </c>
      <c r="B236" t="s">
        <v>688</v>
      </c>
      <c r="C236" s="52" t="s">
        <v>689</v>
      </c>
      <c r="E236" t="s">
        <v>690</v>
      </c>
      <c r="F236" t="s">
        <v>591</v>
      </c>
      <c r="M236"/>
    </row>
    <row r="237" spans="1:13">
      <c r="A237" s="2" t="s">
        <v>56</v>
      </c>
      <c r="B237" t="s">
        <v>691</v>
      </c>
      <c r="C237" s="1" t="s">
        <v>692</v>
      </c>
      <c r="D237" t="s">
        <v>585</v>
      </c>
    </row>
    <row r="238" spans="1:13" ht="15"/>
  </sheetData>
  <sortState xmlns:xlrd2="http://schemas.microsoft.com/office/spreadsheetml/2017/richdata2" ref="A2:J97">
    <sortCondition ref="A2:A97"/>
  </sortState>
  <conditionalFormatting sqref="A2:N237">
    <cfRule type="expression" dxfId="7" priority="8">
      <formula>AND($M2&gt;=TODAY()-30,$M2&lt;=TODAY())</formula>
    </cfRule>
  </conditionalFormatting>
  <dataValidations count="2">
    <dataValidation allowBlank="1" showInputMessage="1" showErrorMessage="1" sqref="A1" xr:uid="{EAF3A632-FFC2-461F-8E3C-46D4F5CA1EA8}"/>
    <dataValidation type="date" allowBlank="1" showInputMessage="1" showErrorMessage="1" sqref="M1:M1048576" xr:uid="{9F207A6D-F3EF-471C-870F-C97E3BFD9D39}">
      <formula1>45658</formula1>
      <formula2>47484</formula2>
    </dataValidation>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4.45"/>
  <cols>
    <col min="1" max="1" width="13.28515625" customWidth="1"/>
    <col min="2" max="2" width="13.42578125" customWidth="1"/>
    <col min="3" max="3" width="22" bestFit="1" customWidth="1"/>
    <col min="4" max="4" width="17" customWidth="1"/>
    <col min="5" max="5" width="13.42578125" customWidth="1"/>
    <col min="8" max="8" width="19.28515625" bestFit="1" customWidth="1"/>
    <col min="9" max="9" width="14.7109375" bestFit="1" customWidth="1"/>
    <col min="13" max="13" width="14.5703125" bestFit="1" customWidth="1"/>
    <col min="14" max="14" width="9" customWidth="1"/>
  </cols>
  <sheetData>
    <row r="1" spans="1:20">
      <c r="A1" s="2" t="s">
        <v>693</v>
      </c>
      <c r="B1" s="2" t="s">
        <v>694</v>
      </c>
      <c r="C1" s="2" t="s">
        <v>695</v>
      </c>
      <c r="D1" s="2" t="s">
        <v>696</v>
      </c>
      <c r="E1" s="26" t="s">
        <v>697</v>
      </c>
      <c r="F1" s="26" t="s">
        <v>698</v>
      </c>
      <c r="G1" t="s">
        <v>68</v>
      </c>
      <c r="H1" s="2" t="s">
        <v>699</v>
      </c>
      <c r="I1" s="2" t="s">
        <v>700</v>
      </c>
      <c r="K1" t="s">
        <v>701</v>
      </c>
      <c r="M1" t="s">
        <v>702</v>
      </c>
      <c r="N1" t="s">
        <v>703</v>
      </c>
      <c r="P1" s="3" t="s">
        <v>704</v>
      </c>
      <c r="Q1" s="3" t="s">
        <v>705</v>
      </c>
      <c r="R1" s="3" t="s">
        <v>706</v>
      </c>
      <c r="S1" s="3" t="s">
        <v>707</v>
      </c>
      <c r="T1" s="3" t="s">
        <v>708</v>
      </c>
    </row>
    <row r="2" spans="1:20">
      <c r="A2" s="2">
        <v>1</v>
      </c>
      <c r="B2" s="2">
        <v>1</v>
      </c>
      <c r="C2" s="2" t="s">
        <v>709</v>
      </c>
      <c r="D2" s="2" t="s">
        <v>710</v>
      </c>
      <c r="E2" s="26">
        <v>1</v>
      </c>
      <c r="F2" s="26">
        <v>1</v>
      </c>
      <c r="G2">
        <v>1</v>
      </c>
      <c r="H2" s="2" t="s">
        <v>711</v>
      </c>
      <c r="I2" s="2">
        <v>10</v>
      </c>
      <c r="K2" s="27">
        <v>0.1</v>
      </c>
      <c r="M2" s="28">
        <v>1000</v>
      </c>
      <c r="N2" s="28">
        <f>M2*K2</f>
        <v>100</v>
      </c>
    </row>
    <row r="3" spans="1:20">
      <c r="A3" s="2">
        <v>1</v>
      </c>
      <c r="B3" s="2">
        <v>2</v>
      </c>
      <c r="C3" s="2" t="s">
        <v>712</v>
      </c>
      <c r="D3" s="2" t="s">
        <v>713</v>
      </c>
      <c r="E3" s="26">
        <v>1</v>
      </c>
      <c r="F3" s="26">
        <v>5</v>
      </c>
      <c r="G3">
        <v>2</v>
      </c>
      <c r="H3" s="2" t="s">
        <v>714</v>
      </c>
      <c r="I3" s="2">
        <v>200</v>
      </c>
      <c r="K3" s="27">
        <v>0.02</v>
      </c>
      <c r="M3" s="28">
        <v>250</v>
      </c>
      <c r="N3" s="28">
        <f t="shared" ref="N3:N9" si="0">M3*K3</f>
        <v>5</v>
      </c>
    </row>
    <row r="4" spans="1:20">
      <c r="A4" s="2">
        <v>1</v>
      </c>
      <c r="B4" s="2">
        <v>2</v>
      </c>
      <c r="C4" s="2" t="s">
        <v>712</v>
      </c>
      <c r="D4" s="2" t="s">
        <v>715</v>
      </c>
      <c r="E4" s="26">
        <v>2</v>
      </c>
      <c r="F4" s="26"/>
      <c r="G4">
        <v>3</v>
      </c>
      <c r="H4" s="2" t="s">
        <v>716</v>
      </c>
      <c r="I4" s="2">
        <v>15</v>
      </c>
      <c r="K4" s="27">
        <v>0.6</v>
      </c>
      <c r="M4" s="28">
        <v>250</v>
      </c>
      <c r="N4" s="28">
        <f t="shared" si="0"/>
        <v>150</v>
      </c>
    </row>
    <row r="5" spans="1:20">
      <c r="A5" s="2">
        <v>2</v>
      </c>
      <c r="B5" s="2">
        <v>1</v>
      </c>
      <c r="C5" s="2" t="s">
        <v>709</v>
      </c>
      <c r="D5" s="2" t="s">
        <v>717</v>
      </c>
      <c r="E5" s="26">
        <v>3</v>
      </c>
      <c r="F5" s="26"/>
      <c r="G5">
        <v>4</v>
      </c>
      <c r="H5" s="2" t="s">
        <v>718</v>
      </c>
      <c r="I5" s="2">
        <v>1</v>
      </c>
      <c r="K5" s="27">
        <v>0.52</v>
      </c>
      <c r="M5" s="28">
        <v>1000</v>
      </c>
      <c r="N5" s="28">
        <f t="shared" si="0"/>
        <v>520</v>
      </c>
    </row>
    <row r="6" spans="1:20">
      <c r="A6" s="2">
        <v>3</v>
      </c>
      <c r="B6" s="2">
        <v>3</v>
      </c>
      <c r="C6" s="2" t="s">
        <v>79</v>
      </c>
      <c r="D6" s="2" t="s">
        <v>719</v>
      </c>
      <c r="E6" s="26">
        <v>4</v>
      </c>
      <c r="F6" s="26">
        <v>6</v>
      </c>
      <c r="G6">
        <v>5</v>
      </c>
      <c r="H6" s="2" t="s">
        <v>714</v>
      </c>
      <c r="I6" s="2">
        <v>0</v>
      </c>
      <c r="K6" s="27">
        <v>0.1</v>
      </c>
      <c r="M6" s="28">
        <v>555</v>
      </c>
      <c r="N6" s="28">
        <f t="shared" si="0"/>
        <v>55.5</v>
      </c>
    </row>
    <row r="7" spans="1:20">
      <c r="A7" s="2">
        <v>4</v>
      </c>
      <c r="B7" s="2">
        <v>4</v>
      </c>
      <c r="C7" s="2" t="s">
        <v>79</v>
      </c>
      <c r="D7" s="2" t="s">
        <v>720</v>
      </c>
      <c r="E7" s="26"/>
      <c r="F7" s="26">
        <v>5</v>
      </c>
      <c r="G7">
        <v>6</v>
      </c>
      <c r="H7" s="2" t="s">
        <v>716</v>
      </c>
      <c r="I7" s="2">
        <v>256</v>
      </c>
      <c r="K7" s="27">
        <v>1E-3</v>
      </c>
      <c r="M7" s="28">
        <v>789</v>
      </c>
      <c r="N7" s="28">
        <f t="shared" si="0"/>
        <v>0.78900000000000003</v>
      </c>
    </row>
    <row r="8" spans="1:20">
      <c r="A8" s="2">
        <v>5</v>
      </c>
      <c r="B8" s="2">
        <v>7</v>
      </c>
      <c r="C8" s="2" t="s">
        <v>79</v>
      </c>
      <c r="D8" s="2" t="s">
        <v>721</v>
      </c>
      <c r="E8" s="26">
        <v>6</v>
      </c>
      <c r="F8" s="26"/>
      <c r="G8">
        <v>7</v>
      </c>
      <c r="H8" s="2" t="s">
        <v>718</v>
      </c>
      <c r="I8" s="2">
        <v>24</v>
      </c>
      <c r="K8" s="27">
        <v>1E-3</v>
      </c>
      <c r="M8" s="28">
        <v>5</v>
      </c>
      <c r="N8" s="28">
        <f t="shared" si="0"/>
        <v>5.0000000000000001E-3</v>
      </c>
    </row>
    <row r="9" spans="1:20">
      <c r="A9" s="2">
        <v>8</v>
      </c>
      <c r="B9" s="2">
        <v>8</v>
      </c>
      <c r="C9" s="2" t="s">
        <v>79</v>
      </c>
      <c r="D9" s="2" t="s">
        <v>722</v>
      </c>
      <c r="E9" s="26"/>
      <c r="F9" s="26">
        <v>8</v>
      </c>
      <c r="G9">
        <v>8</v>
      </c>
      <c r="H9" s="2" t="s">
        <v>711</v>
      </c>
      <c r="I9" s="2">
        <v>51</v>
      </c>
      <c r="K9" s="27">
        <v>1E-3</v>
      </c>
      <c r="M9" s="28">
        <v>1000000</v>
      </c>
      <c r="N9" s="28">
        <f t="shared" si="0"/>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97553-56B0-49BE-A800-C76B6D9D32F5}">
  <dimension ref="A1"/>
  <sheetViews>
    <sheetView zoomScale="70" zoomScaleNormal="70" workbookViewId="0">
      <selection activeCell="M10" sqref="M10"/>
    </sheetView>
  </sheetViews>
  <sheetFormatPr defaultRowHeight="14.4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zoomScale="85" zoomScaleNormal="85" workbookViewId="0">
      <selection activeCell="C23" sqref="C23"/>
    </sheetView>
  </sheetViews>
  <sheetFormatPr defaultRowHeight="14.45"/>
  <cols>
    <col min="1" max="1" width="47.140625" bestFit="1" customWidth="1"/>
    <col min="2" max="2" width="41.7109375" style="15" customWidth="1"/>
    <col min="3" max="3" width="86" style="15" customWidth="1"/>
    <col min="4" max="4" width="12.7109375" style="15" customWidth="1"/>
    <col min="5" max="5" width="174" style="15" hidden="1" customWidth="1"/>
    <col min="6" max="6" width="0" hidden="1" customWidth="1"/>
  </cols>
  <sheetData>
    <row r="1" spans="1:4">
      <c r="A1" t="s">
        <v>0</v>
      </c>
      <c r="B1" s="15" t="s">
        <v>723</v>
      </c>
      <c r="C1" s="15" t="s">
        <v>2</v>
      </c>
      <c r="D1" s="15" t="s">
        <v>724</v>
      </c>
    </row>
    <row r="2" spans="1:4">
      <c r="A2" s="9" t="s">
        <v>725</v>
      </c>
      <c r="B2" s="16"/>
      <c r="C2" s="16" t="s">
        <v>726</v>
      </c>
      <c r="D2" s="16"/>
    </row>
    <row r="3" spans="1:4">
      <c r="A3" s="10" t="s">
        <v>727</v>
      </c>
      <c r="B3" s="16"/>
      <c r="C3" s="16" t="s">
        <v>728</v>
      </c>
      <c r="D3" s="16"/>
    </row>
    <row r="4" spans="1:4">
      <c r="A4" s="10" t="s">
        <v>729</v>
      </c>
      <c r="B4" s="16"/>
      <c r="C4" s="16" t="s">
        <v>730</v>
      </c>
      <c r="D4" s="16"/>
    </row>
    <row r="5" spans="1:4">
      <c r="A5" s="10" t="s">
        <v>731</v>
      </c>
      <c r="B5" s="16"/>
      <c r="C5" s="16" t="s">
        <v>732</v>
      </c>
      <c r="D5" s="16"/>
    </row>
    <row r="6" spans="1:4">
      <c r="A6" s="10" t="s">
        <v>733</v>
      </c>
      <c r="B6" s="16"/>
      <c r="C6" s="16" t="s">
        <v>734</v>
      </c>
      <c r="D6" s="16"/>
    </row>
    <row r="7" spans="1:4">
      <c r="A7" s="10" t="s">
        <v>735</v>
      </c>
      <c r="B7" s="16"/>
      <c r="C7" s="16" t="s">
        <v>736</v>
      </c>
      <c r="D7" s="16"/>
    </row>
    <row r="8" spans="1:4">
      <c r="A8" s="9" t="s">
        <v>737</v>
      </c>
      <c r="B8" s="16"/>
      <c r="C8" s="16"/>
      <c r="D8" s="16"/>
    </row>
    <row r="9" spans="1:4">
      <c r="A9" s="10" t="s">
        <v>738</v>
      </c>
      <c r="B9" s="16"/>
      <c r="C9" s="16" t="s">
        <v>739</v>
      </c>
      <c r="D9" s="16"/>
    </row>
    <row r="10" spans="1:4">
      <c r="A10" s="10" t="s">
        <v>740</v>
      </c>
      <c r="B10" s="16"/>
      <c r="C10" s="16" t="s">
        <v>741</v>
      </c>
      <c r="D10" s="16"/>
    </row>
    <row r="11" spans="1:4">
      <c r="A11" s="10" t="s">
        <v>742</v>
      </c>
      <c r="B11" s="16"/>
      <c r="C11" s="16" t="s">
        <v>743</v>
      </c>
      <c r="D11" s="16"/>
    </row>
    <row r="12" spans="1:4">
      <c r="A12" s="10" t="s">
        <v>744</v>
      </c>
      <c r="B12" s="16"/>
      <c r="C12" s="16" t="s">
        <v>745</v>
      </c>
      <c r="D12" s="16"/>
    </row>
    <row r="13" spans="1:4">
      <c r="A13" s="9" t="s">
        <v>746</v>
      </c>
      <c r="B13" s="16"/>
      <c r="C13" s="16"/>
      <c r="D13" s="16"/>
    </row>
    <row r="14" spans="1:4">
      <c r="A14" s="10" t="s">
        <v>747</v>
      </c>
      <c r="B14" s="16"/>
      <c r="C14" s="16" t="s">
        <v>748</v>
      </c>
      <c r="D14" s="16"/>
    </row>
    <row r="15" spans="1:4">
      <c r="A15" s="10" t="s">
        <v>749</v>
      </c>
      <c r="B15" s="16"/>
      <c r="C15" s="16" t="s">
        <v>750</v>
      </c>
      <c r="D15" s="16"/>
    </row>
    <row r="16" spans="1:4">
      <c r="A16" s="10" t="s">
        <v>751</v>
      </c>
      <c r="B16" s="16"/>
      <c r="C16" s="16" t="s">
        <v>752</v>
      </c>
      <c r="D16" s="16"/>
    </row>
    <row r="17" spans="1:6">
      <c r="A17" s="10" t="s">
        <v>753</v>
      </c>
      <c r="B17" s="16"/>
      <c r="C17" s="16" t="s">
        <v>754</v>
      </c>
      <c r="D17" s="16"/>
    </row>
    <row r="18" spans="1:6">
      <c r="E18" s="12" t="s">
        <v>755</v>
      </c>
      <c r="F18" s="6" t="s">
        <v>756</v>
      </c>
    </row>
    <row r="19" spans="1:6" ht="43.15">
      <c r="A19" s="11" t="s">
        <v>757</v>
      </c>
      <c r="B19" s="15" t="s">
        <v>758</v>
      </c>
      <c r="C19" s="15" t="s">
        <v>759</v>
      </c>
      <c r="E19" s="13" t="s">
        <v>760</v>
      </c>
      <c r="F19" s="7" t="s">
        <v>761</v>
      </c>
    </row>
    <row r="20" spans="1:6" ht="28.9">
      <c r="A20" s="11" t="s">
        <v>762</v>
      </c>
      <c r="B20" s="15" t="s">
        <v>763</v>
      </c>
      <c r="C20" s="15" t="s">
        <v>764</v>
      </c>
      <c r="E20" s="13" t="s">
        <v>765</v>
      </c>
      <c r="F20" s="7" t="s">
        <v>766</v>
      </c>
    </row>
    <row r="21" spans="1:6" ht="57.6">
      <c r="A21" s="11" t="s">
        <v>725</v>
      </c>
      <c r="B21" s="15" t="s">
        <v>767</v>
      </c>
      <c r="C21" s="15" t="s">
        <v>768</v>
      </c>
      <c r="D21" s="15" t="s">
        <v>769</v>
      </c>
      <c r="E21" s="13" t="s">
        <v>770</v>
      </c>
      <c r="F21" s="7" t="s">
        <v>771</v>
      </c>
    </row>
    <row r="22" spans="1:6" ht="28.9">
      <c r="A22" s="11" t="s">
        <v>772</v>
      </c>
      <c r="B22" s="15" t="s">
        <v>773</v>
      </c>
      <c r="C22" s="15" t="s">
        <v>774</v>
      </c>
      <c r="E22" s="13" t="s">
        <v>775</v>
      </c>
      <c r="F22" s="7" t="s">
        <v>776</v>
      </c>
    </row>
    <row r="23" spans="1:6" ht="129.6">
      <c r="A23" s="11" t="s">
        <v>777</v>
      </c>
      <c r="B23" s="15" t="s">
        <v>773</v>
      </c>
      <c r="C23" s="15" t="s">
        <v>778</v>
      </c>
      <c r="E23" s="13" t="s">
        <v>779</v>
      </c>
      <c r="F23" s="7" t="s">
        <v>780</v>
      </c>
    </row>
    <row r="24" spans="1:6" ht="230.45">
      <c r="A24" s="11" t="s">
        <v>781</v>
      </c>
      <c r="B24" s="15" t="s">
        <v>773</v>
      </c>
      <c r="C24" s="46" t="s">
        <v>782</v>
      </c>
      <c r="E24" s="13" t="s">
        <v>783</v>
      </c>
      <c r="F24" s="7" t="s">
        <v>784</v>
      </c>
    </row>
    <row r="25" spans="1:6" ht="57.6">
      <c r="A25" s="11" t="s">
        <v>785</v>
      </c>
      <c r="B25" s="15" t="s">
        <v>786</v>
      </c>
      <c r="C25" s="15" t="s">
        <v>787</v>
      </c>
      <c r="E25" s="13" t="s">
        <v>788</v>
      </c>
      <c r="F25" s="7" t="s">
        <v>789</v>
      </c>
    </row>
    <row r="26" spans="1:6" ht="115.15">
      <c r="A26" s="11" t="s">
        <v>790</v>
      </c>
      <c r="B26" s="15" t="s">
        <v>786</v>
      </c>
      <c r="C26" s="15" t="s">
        <v>791</v>
      </c>
      <c r="E26" s="13" t="s">
        <v>792</v>
      </c>
      <c r="F26" s="7" t="s">
        <v>793</v>
      </c>
    </row>
    <row r="27" spans="1:6" ht="57.6">
      <c r="A27" s="11" t="s">
        <v>794</v>
      </c>
      <c r="B27" s="15" t="s">
        <v>786</v>
      </c>
      <c r="E27" s="13" t="s">
        <v>795</v>
      </c>
      <c r="F27" s="7" t="s">
        <v>796</v>
      </c>
    </row>
    <row r="28" spans="1:6" ht="57.6">
      <c r="A28" s="11" t="s">
        <v>797</v>
      </c>
      <c r="B28" s="15" t="s">
        <v>786</v>
      </c>
      <c r="E28" s="13" t="s">
        <v>798</v>
      </c>
      <c r="F28" s="14" t="s">
        <v>799</v>
      </c>
    </row>
    <row r="29" spans="1:6" ht="57.6">
      <c r="A29" s="11" t="s">
        <v>800</v>
      </c>
      <c r="B29" s="15" t="s">
        <v>786</v>
      </c>
      <c r="E29" s="13" t="s">
        <v>801</v>
      </c>
      <c r="F29" s="7" t="s">
        <v>802</v>
      </c>
    </row>
    <row r="30" spans="1:6" ht="57.6">
      <c r="A30" s="11" t="s">
        <v>803</v>
      </c>
      <c r="B30" s="15" t="s">
        <v>786</v>
      </c>
      <c r="E30" s="13" t="s">
        <v>804</v>
      </c>
      <c r="F30" s="7" t="s">
        <v>805</v>
      </c>
    </row>
    <row r="31" spans="1:6" ht="57.6">
      <c r="A31" s="11" t="s">
        <v>806</v>
      </c>
      <c r="B31" s="15" t="s">
        <v>786</v>
      </c>
      <c r="C31" s="17" t="s">
        <v>807</v>
      </c>
      <c r="E31" s="13" t="s">
        <v>808</v>
      </c>
      <c r="F31" s="7" t="s">
        <v>809</v>
      </c>
    </row>
    <row r="32" spans="1:6" ht="43.15">
      <c r="A32" s="11" t="s">
        <v>810</v>
      </c>
      <c r="B32" s="18" t="s">
        <v>811</v>
      </c>
      <c r="C32" s="17"/>
      <c r="E32" s="13" t="s">
        <v>812</v>
      </c>
      <c r="F32" s="7" t="s">
        <v>813</v>
      </c>
    </row>
    <row r="33" spans="1:6">
      <c r="A33" s="11" t="s">
        <v>814</v>
      </c>
      <c r="B33" s="15" t="s">
        <v>815</v>
      </c>
      <c r="E33" s="13" t="s">
        <v>816</v>
      </c>
      <c r="F33" s="7" t="s">
        <v>817</v>
      </c>
    </row>
    <row r="34" spans="1:6" ht="28.9">
      <c r="A34" s="11" t="s">
        <v>818</v>
      </c>
      <c r="B34" s="18" t="s">
        <v>819</v>
      </c>
      <c r="E34" s="13" t="s">
        <v>820</v>
      </c>
      <c r="F34" s="7" t="s">
        <v>821</v>
      </c>
    </row>
    <row r="35" spans="1:6">
      <c r="A35" s="11" t="s">
        <v>822</v>
      </c>
      <c r="B35" s="19" t="s">
        <v>823</v>
      </c>
      <c r="E35" s="13" t="s">
        <v>824</v>
      </c>
      <c r="F35" s="7" t="s">
        <v>825</v>
      </c>
    </row>
    <row r="36" spans="1:6">
      <c r="A36" s="11" t="s">
        <v>826</v>
      </c>
      <c r="B36" s="15" t="s">
        <v>827</v>
      </c>
      <c r="C36" s="15" t="s">
        <v>828</v>
      </c>
      <c r="E36" s="13" t="s">
        <v>829</v>
      </c>
      <c r="F36" s="7" t="s">
        <v>830</v>
      </c>
    </row>
    <row r="37" spans="1:6">
      <c r="A37" s="11" t="s">
        <v>695</v>
      </c>
      <c r="B37" s="15" t="s">
        <v>827</v>
      </c>
      <c r="C37" s="15" t="s">
        <v>831</v>
      </c>
      <c r="E37" s="13" t="s">
        <v>832</v>
      </c>
      <c r="F37" s="7" t="s">
        <v>833</v>
      </c>
    </row>
    <row r="38" spans="1:6">
      <c r="A38" s="11" t="s">
        <v>834</v>
      </c>
      <c r="B38" s="15" t="s">
        <v>827</v>
      </c>
      <c r="C38" s="15" t="s">
        <v>835</v>
      </c>
      <c r="E38" s="13" t="s">
        <v>836</v>
      </c>
      <c r="F38" s="7" t="s">
        <v>837</v>
      </c>
    </row>
    <row r="39" spans="1:6">
      <c r="A39" s="11" t="s">
        <v>838</v>
      </c>
      <c r="B39" s="15" t="s">
        <v>827</v>
      </c>
      <c r="E39" s="13" t="s">
        <v>839</v>
      </c>
      <c r="F39" s="7" t="s">
        <v>840</v>
      </c>
    </row>
    <row r="40" spans="1:6" ht="28.9">
      <c r="A40" s="11" t="s">
        <v>841</v>
      </c>
      <c r="B40" s="18" t="s">
        <v>842</v>
      </c>
      <c r="E40" s="13" t="s">
        <v>843</v>
      </c>
      <c r="F40" s="7" t="s">
        <v>844</v>
      </c>
    </row>
    <row r="41" spans="1:6" ht="57.6">
      <c r="A41" s="11" t="s">
        <v>845</v>
      </c>
      <c r="B41" s="18" t="s">
        <v>846</v>
      </c>
      <c r="E41" s="13" t="s">
        <v>847</v>
      </c>
      <c r="F41" s="7" t="s">
        <v>848</v>
      </c>
    </row>
    <row r="42" spans="1:6" ht="43.15">
      <c r="A42" s="11" t="s">
        <v>849</v>
      </c>
      <c r="B42" s="18" t="s">
        <v>850</v>
      </c>
      <c r="C42" s="15" t="s">
        <v>851</v>
      </c>
      <c r="E42" s="13" t="s">
        <v>852</v>
      </c>
      <c r="F42" s="7" t="s">
        <v>853</v>
      </c>
    </row>
    <row r="43" spans="1:6" ht="43.15">
      <c r="A43" s="11" t="s">
        <v>854</v>
      </c>
      <c r="B43" s="21" t="s">
        <v>855</v>
      </c>
      <c r="C43" s="15" t="s">
        <v>856</v>
      </c>
      <c r="E43" s="13" t="s">
        <v>857</v>
      </c>
      <c r="F43" s="7" t="s">
        <v>858</v>
      </c>
    </row>
    <row r="44" spans="1:6" ht="28.9">
      <c r="A44" s="11" t="s">
        <v>859</v>
      </c>
      <c r="B44" s="21" t="s">
        <v>860</v>
      </c>
      <c r="C44" s="15" t="s">
        <v>861</v>
      </c>
      <c r="E44" s="13" t="s">
        <v>862</v>
      </c>
      <c r="F44" s="7" t="s">
        <v>863</v>
      </c>
    </row>
    <row r="45" spans="1:6" ht="100.9">
      <c r="A45" s="11" t="s">
        <v>864</v>
      </c>
      <c r="B45" s="19" t="s">
        <v>865</v>
      </c>
      <c r="C45" s="15" t="s">
        <v>866</v>
      </c>
      <c r="E45" s="13" t="s">
        <v>867</v>
      </c>
      <c r="F45" s="7" t="s">
        <v>868</v>
      </c>
    </row>
    <row r="46" spans="1:6" ht="28.9">
      <c r="A46" s="11" t="s">
        <v>869</v>
      </c>
      <c r="B46" s="19" t="s">
        <v>865</v>
      </c>
      <c r="E46" s="13" t="s">
        <v>870</v>
      </c>
      <c r="F46" s="7" t="s">
        <v>871</v>
      </c>
    </row>
    <row r="47" spans="1:6">
      <c r="A47" s="11" t="s">
        <v>872</v>
      </c>
      <c r="B47" s="21" t="s">
        <v>873</v>
      </c>
      <c r="E47" s="13" t="s">
        <v>874</v>
      </c>
      <c r="F47" s="14" t="s">
        <v>875</v>
      </c>
    </row>
    <row r="48" spans="1:6">
      <c r="A48" s="11" t="s">
        <v>876</v>
      </c>
      <c r="B48" s="21" t="s">
        <v>873</v>
      </c>
      <c r="E48" s="13" t="s">
        <v>877</v>
      </c>
      <c r="F48" s="14" t="s">
        <v>878</v>
      </c>
    </row>
    <row r="49" spans="1:6">
      <c r="A49" s="11" t="s">
        <v>879</v>
      </c>
      <c r="B49" s="19" t="s">
        <v>880</v>
      </c>
      <c r="E49" s="13" t="s">
        <v>881</v>
      </c>
      <c r="F49" s="7" t="s">
        <v>882</v>
      </c>
    </row>
    <row r="50" spans="1:6">
      <c r="A50" s="11" t="s">
        <v>883</v>
      </c>
      <c r="B50" s="19" t="s">
        <v>880</v>
      </c>
      <c r="E50" s="13" t="s">
        <v>884</v>
      </c>
      <c r="F50" s="7" t="s">
        <v>885</v>
      </c>
    </row>
    <row r="51" spans="1:6" ht="43.15">
      <c r="A51" s="11" t="s">
        <v>886</v>
      </c>
      <c r="B51" s="21" t="s">
        <v>887</v>
      </c>
      <c r="E51" s="13" t="s">
        <v>888</v>
      </c>
      <c r="F51" s="7" t="s">
        <v>889</v>
      </c>
    </row>
    <row r="52" spans="1:6" ht="43.15">
      <c r="A52" s="11" t="s">
        <v>890</v>
      </c>
      <c r="B52" s="21" t="s">
        <v>887</v>
      </c>
      <c r="E52" s="13" t="s">
        <v>891</v>
      </c>
      <c r="F52" s="7" t="s">
        <v>892</v>
      </c>
    </row>
    <row r="53" spans="1:6">
      <c r="A53" s="11" t="s">
        <v>893</v>
      </c>
      <c r="B53" s="20" t="s">
        <v>894</v>
      </c>
      <c r="E53" s="13" t="s">
        <v>895</v>
      </c>
      <c r="F53" s="7" t="s">
        <v>896</v>
      </c>
    </row>
    <row r="54" spans="1:6" ht="129.6">
      <c r="A54" s="11" t="s">
        <v>897</v>
      </c>
      <c r="B54" s="21" t="s">
        <v>898</v>
      </c>
      <c r="C54" s="15" t="s">
        <v>899</v>
      </c>
      <c r="E54" s="13" t="s">
        <v>900</v>
      </c>
      <c r="F54" s="7" t="s">
        <v>901</v>
      </c>
    </row>
    <row r="55" spans="1:6" ht="28.9">
      <c r="A55" s="11" t="s">
        <v>902</v>
      </c>
      <c r="B55" s="21" t="s">
        <v>898</v>
      </c>
      <c r="C55" s="15" t="s">
        <v>903</v>
      </c>
      <c r="E55" s="13" t="s">
        <v>904</v>
      </c>
      <c r="F55" s="7" t="s">
        <v>905</v>
      </c>
    </row>
    <row r="56" spans="1:6">
      <c r="A56" s="11" t="s">
        <v>906</v>
      </c>
      <c r="B56" s="21" t="s">
        <v>898</v>
      </c>
      <c r="E56" s="13" t="s">
        <v>907</v>
      </c>
      <c r="F56" s="7" t="s">
        <v>908</v>
      </c>
    </row>
    <row r="57" spans="1:6" ht="43.15">
      <c r="A57" s="11" t="s">
        <v>909</v>
      </c>
      <c r="B57" s="21" t="s">
        <v>887</v>
      </c>
      <c r="E57" s="13" t="s">
        <v>910</v>
      </c>
      <c r="F57" s="7" t="s">
        <v>911</v>
      </c>
    </row>
    <row r="58" spans="1:6" ht="43.15">
      <c r="A58" s="11" t="s">
        <v>912</v>
      </c>
      <c r="B58" s="21" t="s">
        <v>887</v>
      </c>
      <c r="E58" s="13" t="s">
        <v>913</v>
      </c>
      <c r="F58" s="7" t="s">
        <v>914</v>
      </c>
    </row>
    <row r="59" spans="1:6" ht="28.9">
      <c r="A59" s="11" t="s">
        <v>915</v>
      </c>
      <c r="B59" s="19" t="s">
        <v>865</v>
      </c>
      <c r="E59" s="13" t="s">
        <v>916</v>
      </c>
      <c r="F59" s="7" t="s">
        <v>917</v>
      </c>
    </row>
    <row r="60" spans="1:6" ht="43.15">
      <c r="A60" s="11" t="s">
        <v>918</v>
      </c>
      <c r="B60" s="21" t="s">
        <v>919</v>
      </c>
      <c r="E60" s="13" t="s">
        <v>920</v>
      </c>
      <c r="F60" s="7" t="s">
        <v>921</v>
      </c>
    </row>
    <row r="61" spans="1:6" ht="43.15">
      <c r="A61" s="11" t="s">
        <v>922</v>
      </c>
      <c r="B61" s="21" t="s">
        <v>919</v>
      </c>
      <c r="E61" s="13" t="s">
        <v>923</v>
      </c>
      <c r="F61" s="7" t="s">
        <v>924</v>
      </c>
    </row>
    <row r="62" spans="1:6" ht="43.15">
      <c r="A62" s="11" t="s">
        <v>925</v>
      </c>
      <c r="B62" s="21" t="s">
        <v>919</v>
      </c>
      <c r="E62" s="13" t="s">
        <v>926</v>
      </c>
      <c r="F62" s="7" t="s">
        <v>927</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K24"/>
  <sheetViews>
    <sheetView workbookViewId="0">
      <pane xSplit="2" ySplit="1" topLeftCell="C2" activePane="bottomRight" state="frozen"/>
      <selection pane="bottomRight" activeCell="B2" sqref="B2"/>
      <selection pane="bottomLeft" activeCell="A2" sqref="A2"/>
      <selection pane="topRight" activeCell="C1" sqref="C1"/>
    </sheetView>
  </sheetViews>
  <sheetFormatPr defaultRowHeight="14.45"/>
  <cols>
    <col min="2" max="2" width="32.28515625" customWidth="1"/>
    <col min="4" max="4" width="23.5703125" bestFit="1" customWidth="1"/>
    <col min="6" max="6" width="31" bestFit="1" customWidth="1"/>
    <col min="7" max="7" width="23" bestFit="1" customWidth="1"/>
    <col min="8" max="8" width="85.42578125" customWidth="1"/>
    <col min="10" max="10" width="21.7109375" bestFit="1" customWidth="1"/>
    <col min="11" max="11" width="43.140625" bestFit="1" customWidth="1"/>
  </cols>
  <sheetData>
    <row r="1" spans="1:11">
      <c r="A1" t="s">
        <v>928</v>
      </c>
      <c r="B1" t="s">
        <v>929</v>
      </c>
      <c r="C1" t="s">
        <v>930</v>
      </c>
      <c r="D1" t="s">
        <v>931</v>
      </c>
      <c r="E1" t="s">
        <v>932</v>
      </c>
      <c r="F1" t="s">
        <v>933</v>
      </c>
      <c r="G1" s="33" t="s">
        <v>297</v>
      </c>
      <c r="H1" t="s">
        <v>934</v>
      </c>
      <c r="I1" t="s">
        <v>935</v>
      </c>
      <c r="J1" t="s">
        <v>936</v>
      </c>
      <c r="K1" t="s">
        <v>937</v>
      </c>
    </row>
    <row r="2" spans="1:11">
      <c r="B2" t="s">
        <v>938</v>
      </c>
      <c r="C2" t="s">
        <v>939</v>
      </c>
      <c r="D2" t="s">
        <v>940</v>
      </c>
      <c r="E2" t="s">
        <v>480</v>
      </c>
      <c r="G2" t="s">
        <v>941</v>
      </c>
      <c r="H2" t="str">
        <f>_xlfn.XLOOKUP(B2,Table2[Channel Name],Table2[Interactsion Concatnated],"",0,1)</f>
        <v>Viewed;Clicked;Submit Form</v>
      </c>
      <c r="J2" t="s">
        <v>942</v>
      </c>
      <c r="K2" s="47" t="s">
        <v>943</v>
      </c>
    </row>
    <row r="3" spans="1:11">
      <c r="B3" t="s">
        <v>944</v>
      </c>
      <c r="C3" t="s">
        <v>939</v>
      </c>
      <c r="D3" t="s">
        <v>945</v>
      </c>
      <c r="E3" t="s">
        <v>946</v>
      </c>
      <c r="G3" t="s">
        <v>941</v>
      </c>
      <c r="H3" t="str">
        <f>_xlfn.XLOOKUP(B3,Table2[Channel Name],Table2[Interactsion Concatnated],"",0,1)</f>
        <v>Viewed;Clicked;Submit Form</v>
      </c>
    </row>
    <row r="4" spans="1:11">
      <c r="B4" t="s">
        <v>947</v>
      </c>
      <c r="C4" t="s">
        <v>939</v>
      </c>
      <c r="D4" t="s">
        <v>948</v>
      </c>
      <c r="E4" t="s">
        <v>480</v>
      </c>
      <c r="G4" t="s">
        <v>941</v>
      </c>
      <c r="H4" t="str">
        <f>_xlfn.XLOOKUP(B4,Table2[Channel Name],Table2[Interactsion Concatnated],"",0,1)</f>
        <v>Page View;Link Click;Submit Form;Watch Video;Download;Live Chat?</v>
      </c>
      <c r="J4" t="s">
        <v>949</v>
      </c>
      <c r="K4" s="48" t="s">
        <v>950</v>
      </c>
    </row>
    <row r="5" spans="1:11">
      <c r="B5" t="s">
        <v>951</v>
      </c>
      <c r="C5" t="s">
        <v>939</v>
      </c>
      <c r="D5" t="s">
        <v>945</v>
      </c>
      <c r="E5" t="s">
        <v>952</v>
      </c>
      <c r="F5" t="s">
        <v>953</v>
      </c>
      <c r="G5" t="s">
        <v>941</v>
      </c>
      <c r="H5" t="str">
        <f>_xlfn.XLOOKUP(B5,Table2[Channel Name],Table2[Interactsion Concatnated],"",0,1)</f>
        <v>Viewed</v>
      </c>
    </row>
    <row r="6" spans="1:11">
      <c r="B6" t="s">
        <v>954</v>
      </c>
      <c r="C6" t="s">
        <v>939</v>
      </c>
      <c r="D6" t="s">
        <v>945</v>
      </c>
      <c r="E6" t="s">
        <v>480</v>
      </c>
      <c r="G6" t="s">
        <v>941</v>
      </c>
      <c r="H6" t="str">
        <f>_xlfn.XLOOKUP(B6,Table2[Channel Name],Table2[Interactsion Concatnated],"",0,1)</f>
        <v>Viewed;Clicked;Responded</v>
      </c>
    </row>
    <row r="7" spans="1:11">
      <c r="B7" t="s">
        <v>955</v>
      </c>
      <c r="C7" t="s">
        <v>956</v>
      </c>
      <c r="D7" t="s">
        <v>957</v>
      </c>
      <c r="E7" t="s">
        <v>480</v>
      </c>
      <c r="G7" t="s">
        <v>958</v>
      </c>
      <c r="H7" t="str">
        <f>_xlfn.XLOOKUP(B7,Table2[Channel Name],Table2[Interactsion Concatnated],"",0,1)</f>
        <v>Viewed;Clicked;Responded;Opt-Out</v>
      </c>
    </row>
    <row r="8" spans="1:11">
      <c r="B8" t="s">
        <v>959</v>
      </c>
      <c r="C8" t="s">
        <v>956</v>
      </c>
      <c r="D8" t="s">
        <v>960</v>
      </c>
      <c r="E8" t="s">
        <v>961</v>
      </c>
      <c r="G8" t="s">
        <v>958</v>
      </c>
      <c r="H8" t="str">
        <f>_xlfn.XLOOKUP(B8,Table2[Channel Name],Table2[Interactsion Concatnated],"",0,1)</f>
        <v>Registered;Attended;View on Demand</v>
      </c>
    </row>
    <row r="9" spans="1:11">
      <c r="B9" t="s">
        <v>962</v>
      </c>
      <c r="C9" t="s">
        <v>956</v>
      </c>
      <c r="D9" t="s">
        <v>960</v>
      </c>
      <c r="E9" t="s">
        <v>961</v>
      </c>
      <c r="G9" t="s">
        <v>958</v>
      </c>
      <c r="H9" t="str">
        <f>_xlfn.XLOOKUP(B9,Table2[Channel Name],Table2[Interactsion Concatnated],"",0,1)</f>
        <v>Registered;Attended</v>
      </c>
    </row>
    <row r="10" spans="1:11">
      <c r="B10" t="s">
        <v>963</v>
      </c>
      <c r="C10" t="s">
        <v>956</v>
      </c>
      <c r="D10" t="s">
        <v>960</v>
      </c>
      <c r="E10" t="s">
        <v>961</v>
      </c>
      <c r="H10" t="str">
        <f>_xlfn.XLOOKUP(B10,Table2[Channel Name],Table2[Interactsion Concatnated],"",0,1)</f>
        <v>Registered;Attended;View on Demand</v>
      </c>
    </row>
    <row r="11" spans="1:11">
      <c r="B11" t="s">
        <v>964</v>
      </c>
      <c r="C11" t="s">
        <v>956</v>
      </c>
      <c r="D11" t="s">
        <v>957</v>
      </c>
      <c r="E11" t="s">
        <v>952</v>
      </c>
      <c r="H11" t="str">
        <f>_xlfn.XLOOKUP(B11,Table2[Channel Name],Table2[Interactsion Concatnated],"",0,1)</f>
        <v>Sent;Received;Bounced</v>
      </c>
      <c r="I11" t="b">
        <v>1</v>
      </c>
    </row>
    <row r="12" spans="1:11">
      <c r="B12" t="s">
        <v>965</v>
      </c>
      <c r="C12" t="s">
        <v>956</v>
      </c>
      <c r="D12" t="s">
        <v>957</v>
      </c>
      <c r="E12" t="s">
        <v>480</v>
      </c>
      <c r="H12" t="str">
        <f>_xlfn.XLOOKUP(B12,Table2[Channel Name],Table2[Interactsion Concatnated],"",0,1)</f>
        <v>Sent;Received;Read;Clicked;Responded;Opt-Out</v>
      </c>
    </row>
    <row r="13" spans="1:11">
      <c r="B13" t="s">
        <v>966</v>
      </c>
      <c r="C13" t="s">
        <v>956</v>
      </c>
      <c r="D13" t="s">
        <v>957</v>
      </c>
      <c r="E13" t="s">
        <v>480</v>
      </c>
      <c r="H13" t="str">
        <f>_xlfn.XLOOKUP(B13,Table2[Channel Name],Table2[Interactsion Concatnated],"",0,1)</f>
        <v>Sent;Received;Read;Clicked;Responded;Opt-Out</v>
      </c>
    </row>
    <row r="14" spans="1:11">
      <c r="B14" t="s">
        <v>967</v>
      </c>
      <c r="C14" t="s">
        <v>956</v>
      </c>
      <c r="D14" t="s">
        <v>957</v>
      </c>
      <c r="E14" t="s">
        <v>480</v>
      </c>
      <c r="H14" t="str">
        <f>_xlfn.XLOOKUP(B14,Table2[Channel Name],Table2[Interactsion Concatnated],"",0,1)</f>
        <v>Sent;Received;Bounced;Opened;Clicked;Opt-Out;Responded</v>
      </c>
      <c r="I14" t="b">
        <v>1</v>
      </c>
      <c r="J14" t="s">
        <v>968</v>
      </c>
      <c r="K14" s="49" t="s">
        <v>969</v>
      </c>
    </row>
    <row r="15" spans="1:11">
      <c r="B15" t="s">
        <v>970</v>
      </c>
      <c r="C15" t="s">
        <v>956</v>
      </c>
      <c r="D15" t="s">
        <v>957</v>
      </c>
      <c r="E15" t="s">
        <v>480</v>
      </c>
      <c r="H15" t="str">
        <f>_xlfn.XLOOKUP(B15,Table2[Channel Name],Table2[Interactsion Concatnated],"",0,1)</f>
        <v>Sent;Received;Bounced;Clicked;Responsed;Opt-Out</v>
      </c>
      <c r="I15" t="b">
        <v>1</v>
      </c>
      <c r="J15" t="s">
        <v>971</v>
      </c>
      <c r="K15" s="47" t="s">
        <v>972</v>
      </c>
    </row>
    <row r="16" spans="1:11">
      <c r="B16" t="s">
        <v>973</v>
      </c>
      <c r="C16" t="s">
        <v>956</v>
      </c>
      <c r="D16" t="s">
        <v>957</v>
      </c>
      <c r="E16" t="s">
        <v>480</v>
      </c>
      <c r="H16" t="str">
        <f>_xlfn.XLOOKUP(B16,Table2[Channel Name],Table2[Interactsion Concatnated],"",0,1)</f>
        <v>Sent;Received;Bounced;Clicked;Responsed;Opt-Out</v>
      </c>
    </row>
    <row r="17" spans="2:11">
      <c r="B17" t="s">
        <v>974</v>
      </c>
      <c r="C17" t="s">
        <v>956</v>
      </c>
      <c r="D17" t="s">
        <v>957</v>
      </c>
      <c r="E17" t="s">
        <v>480</v>
      </c>
      <c r="H17" t="str">
        <f>_xlfn.XLOOKUP(B17,Table2[Channel Name],Table2[Interactsion Concatnated],"",0,1)</f>
        <v>Sent;Received;Clicked</v>
      </c>
    </row>
    <row r="18" spans="2:11">
      <c r="B18" t="s">
        <v>975</v>
      </c>
      <c r="C18" t="s">
        <v>956</v>
      </c>
      <c r="D18" t="s">
        <v>957</v>
      </c>
      <c r="E18" t="s">
        <v>976</v>
      </c>
      <c r="H18" t="str">
        <f>_xlfn.XLOOKUP(B18,Table2[Channel Name],Table2[Interactsion Concatnated],"",0,1)</f>
        <v>Attempted;Answered;Conversed</v>
      </c>
      <c r="J18" t="s">
        <v>977</v>
      </c>
      <c r="K18" s="49" t="s">
        <v>969</v>
      </c>
    </row>
    <row r="19" spans="2:11">
      <c r="B19" t="s">
        <v>978</v>
      </c>
      <c r="C19" t="s">
        <v>956</v>
      </c>
      <c r="D19" t="s">
        <v>979</v>
      </c>
      <c r="E19" t="s">
        <v>976</v>
      </c>
      <c r="H19" t="str">
        <f>_xlfn.XLOOKUP(B19,Table2[Channel Name],Table2[Interactsion Concatnated],"",0,1)</f>
        <v>Initiated;Answered;Disconnected</v>
      </c>
      <c r="J19" t="s">
        <v>977</v>
      </c>
      <c r="K19" s="49" t="s">
        <v>969</v>
      </c>
    </row>
    <row r="20" spans="2:11">
      <c r="B20" t="s">
        <v>980</v>
      </c>
      <c r="C20" t="s">
        <v>981</v>
      </c>
      <c r="D20" t="s">
        <v>957</v>
      </c>
      <c r="E20" t="s">
        <v>976</v>
      </c>
      <c r="H20" t="str">
        <f>_xlfn.XLOOKUP(B20,Table2[Channel Name],Table2[Interactsion Concatnated],"",0,1)</f>
        <v>Invited;Attended</v>
      </c>
    </row>
    <row r="21" spans="2:11">
      <c r="B21" t="s">
        <v>982</v>
      </c>
      <c r="C21" t="s">
        <v>981</v>
      </c>
      <c r="D21" t="s">
        <v>957</v>
      </c>
      <c r="E21" t="s">
        <v>976</v>
      </c>
      <c r="H21" t="str">
        <f>_xlfn.XLOOKUP(B21,Table2[Channel Name],Table2[Interactsion Concatnated],"",0,1)</f>
        <v>Dialled;Answered;Engaged</v>
      </c>
    </row>
    <row r="22" spans="2:11">
      <c r="B22" t="s">
        <v>983</v>
      </c>
      <c r="C22" t="s">
        <v>981</v>
      </c>
      <c r="D22" t="s">
        <v>957</v>
      </c>
      <c r="E22" t="s">
        <v>480</v>
      </c>
      <c r="H22" t="str">
        <f>_xlfn.XLOOKUP(B22,Table2[Channel Name],Table2[Interactsion Concatnated],"",0,1)</f>
        <v>Sent;Received;Bounced;Opened;Clicked;Opt-Out;Responded</v>
      </c>
    </row>
    <row r="23" spans="2:11">
      <c r="B23" s="44" t="s">
        <v>984</v>
      </c>
      <c r="C23" t="s">
        <v>956</v>
      </c>
      <c r="D23" t="s">
        <v>957</v>
      </c>
      <c r="E23" t="s">
        <v>976</v>
      </c>
      <c r="G23" t="s">
        <v>941</v>
      </c>
      <c r="H23" t="str">
        <f>_xlfn.XLOOKUP(B23,Table2[Channel Name],Table2[Interactsion Concatnated],"",0,1)</f>
        <v>Called</v>
      </c>
      <c r="J23" t="s">
        <v>977</v>
      </c>
      <c r="K23" s="49" t="s">
        <v>969</v>
      </c>
    </row>
    <row r="24" spans="2:11">
      <c r="H24" s="15"/>
    </row>
  </sheetData>
  <autoFilter ref="A1:I1" xr:uid="{6B8D126A-E50F-4373-9159-5B9100CAC9A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J23"/>
  <sheetViews>
    <sheetView workbookViewId="0">
      <selection activeCell="B34" sqref="B34"/>
    </sheetView>
  </sheetViews>
  <sheetFormatPr defaultRowHeight="14.45"/>
  <cols>
    <col min="1" max="1" width="24.85546875" bestFit="1" customWidth="1"/>
    <col min="2" max="2" width="61.85546875" bestFit="1" customWidth="1"/>
    <col min="3" max="3" width="21.140625" customWidth="1"/>
    <col min="4" max="4" width="11.5703125" bestFit="1" customWidth="1"/>
    <col min="5" max="5" width="15.5703125" bestFit="1" customWidth="1"/>
    <col min="6" max="6" width="11.85546875" bestFit="1" customWidth="1"/>
    <col min="7" max="9" width="11.5703125" bestFit="1" customWidth="1"/>
    <col min="10" max="10" width="24.85546875" bestFit="1" customWidth="1"/>
  </cols>
  <sheetData>
    <row r="1" spans="1:10">
      <c r="A1" s="37" t="s">
        <v>929</v>
      </c>
      <c r="B1" s="43" t="s">
        <v>985</v>
      </c>
      <c r="C1" s="34" t="s">
        <v>51</v>
      </c>
      <c r="D1" s="34" t="s">
        <v>986</v>
      </c>
      <c r="E1" s="34" t="s">
        <v>987</v>
      </c>
      <c r="F1" s="34" t="s">
        <v>988</v>
      </c>
      <c r="G1" s="34" t="s">
        <v>989</v>
      </c>
      <c r="H1" s="34" t="s">
        <v>990</v>
      </c>
      <c r="I1" s="35" t="s">
        <v>991</v>
      </c>
      <c r="J1" t="s">
        <v>992</v>
      </c>
    </row>
    <row r="2" spans="1:10" hidden="1">
      <c r="A2" s="41" t="s">
        <v>938</v>
      </c>
      <c r="B2" s="38" t="str">
        <f>_xlfn.TEXTJOIN(";",TRUE,C2:I2)</f>
        <v>Viewed;Clicked;Submit Form</v>
      </c>
      <c r="C2" t="s">
        <v>993</v>
      </c>
      <c r="D2" t="s">
        <v>994</v>
      </c>
      <c r="E2" t="s">
        <v>995</v>
      </c>
      <c r="I2" s="23"/>
      <c r="J2" t="str">
        <f>_xlfn.XLOOKUP(A2,Channels!B:B,Channels!B:B,"MISSING",0,1)</f>
        <v>Paid Digital Ads</v>
      </c>
    </row>
    <row r="3" spans="1:10" hidden="1">
      <c r="A3" s="41" t="s">
        <v>944</v>
      </c>
      <c r="B3" s="39" t="str">
        <f t="shared" ref="B3:B21" si="0">_xlfn.TEXTJOIN(";",TRUE,C3:I3)</f>
        <v>Viewed;Clicked;Submit Form</v>
      </c>
      <c r="C3" t="s">
        <v>993</v>
      </c>
      <c r="D3" t="s">
        <v>994</v>
      </c>
      <c r="E3" t="s">
        <v>995</v>
      </c>
      <c r="I3" s="23"/>
      <c r="J3" t="str">
        <f>_xlfn.XLOOKUP(A3,Channels!B:B,Channels!B:B,"MISSING",0,1)</f>
        <v>Content Syndication</v>
      </c>
    </row>
    <row r="4" spans="1:10" hidden="1">
      <c r="A4" s="41" t="s">
        <v>947</v>
      </c>
      <c r="B4" s="39" t="str">
        <f t="shared" si="0"/>
        <v>Page View;Link Click;Submit Form;Watch Video;Download;Live Chat?</v>
      </c>
      <c r="C4" t="s">
        <v>996</v>
      </c>
      <c r="D4" t="s">
        <v>997</v>
      </c>
      <c r="E4" t="s">
        <v>995</v>
      </c>
      <c r="F4" t="s">
        <v>998</v>
      </c>
      <c r="G4" t="s">
        <v>999</v>
      </c>
      <c r="H4" t="s">
        <v>1000</v>
      </c>
      <c r="I4" s="23"/>
      <c r="J4" t="str">
        <f>_xlfn.XLOOKUP(A4,Channels!B:B,Channels!B:B,"MISSING",0,1)</f>
        <v>Web</v>
      </c>
    </row>
    <row r="5" spans="1:10" hidden="1">
      <c r="A5" s="41" t="s">
        <v>951</v>
      </c>
      <c r="B5" s="39" t="str">
        <f t="shared" si="0"/>
        <v>Viewed</v>
      </c>
      <c r="C5" t="s">
        <v>993</v>
      </c>
      <c r="I5" s="23"/>
      <c r="J5" t="str">
        <f>_xlfn.XLOOKUP(A5,Channels!B:B,Channels!B:B,"MISSING",0,1)</f>
        <v>Above the Line - Non Digital</v>
      </c>
    </row>
    <row r="6" spans="1:10" hidden="1">
      <c r="A6" s="41" t="s">
        <v>954</v>
      </c>
      <c r="B6" s="39" t="str">
        <f t="shared" si="0"/>
        <v>Viewed;Clicked;Responded</v>
      </c>
      <c r="C6" t="s">
        <v>993</v>
      </c>
      <c r="D6" t="s">
        <v>994</v>
      </c>
      <c r="E6" t="s">
        <v>1001</v>
      </c>
      <c r="I6" s="23"/>
      <c r="J6" t="str">
        <f>_xlfn.XLOOKUP(A6,Channels!B:B,Channels!B:B,"MISSING",0,1)</f>
        <v>Social Posts</v>
      </c>
    </row>
    <row r="7" spans="1:10" hidden="1">
      <c r="A7" s="41" t="s">
        <v>955</v>
      </c>
      <c r="B7" s="39" t="str">
        <f t="shared" si="0"/>
        <v>Viewed;Clicked;Responded;Opt-Out</v>
      </c>
      <c r="C7" t="s">
        <v>993</v>
      </c>
      <c r="D7" t="s">
        <v>994</v>
      </c>
      <c r="E7" t="s">
        <v>1001</v>
      </c>
      <c r="F7" t="s">
        <v>1002</v>
      </c>
      <c r="I7" s="23"/>
      <c r="J7" t="str">
        <f>_xlfn.XLOOKUP(A7,Channels!B:B,Channels!B:B,"MISSING",0,1)</f>
        <v>Social Outbound Messages</v>
      </c>
    </row>
    <row r="8" spans="1:10" hidden="1">
      <c r="A8" s="41" t="s">
        <v>959</v>
      </c>
      <c r="B8" s="39" t="str">
        <f t="shared" si="0"/>
        <v>Registered;Attended;View on Demand</v>
      </c>
      <c r="C8" t="s">
        <v>1003</v>
      </c>
      <c r="D8" t="s">
        <v>1004</v>
      </c>
      <c r="E8" t="s">
        <v>1005</v>
      </c>
      <c r="I8" s="23"/>
      <c r="J8" t="str">
        <f>_xlfn.XLOOKUP(A8,Channels!B:B,Channels!B:B,"MISSING",0,1)</f>
        <v>Virtual Events</v>
      </c>
    </row>
    <row r="9" spans="1:10" hidden="1">
      <c r="A9" s="41" t="s">
        <v>962</v>
      </c>
      <c r="B9" s="39" t="str">
        <f t="shared" si="0"/>
        <v>Registered;Attended</v>
      </c>
      <c r="C9" t="s">
        <v>1003</v>
      </c>
      <c r="D9" t="s">
        <v>1004</v>
      </c>
      <c r="I9" s="23"/>
      <c r="J9" t="str">
        <f>_xlfn.XLOOKUP(A9,Channels!B:B,Channels!B:B,"MISSING",0,1)</f>
        <v>F2F Events</v>
      </c>
    </row>
    <row r="10" spans="1:10" hidden="1">
      <c r="A10" s="41" t="s">
        <v>963</v>
      </c>
      <c r="B10" s="39" t="str">
        <f t="shared" si="0"/>
        <v>Registered;Attended;View on Demand</v>
      </c>
      <c r="C10" t="s">
        <v>1003</v>
      </c>
      <c r="D10" t="s">
        <v>1004</v>
      </c>
      <c r="E10" t="s">
        <v>1005</v>
      </c>
      <c r="I10" s="23"/>
      <c r="J10" t="str">
        <f>_xlfn.XLOOKUP(A10,Channels!B:B,Channels!B:B,"MISSING",0,1)</f>
        <v>Webinars</v>
      </c>
    </row>
    <row r="11" spans="1:10" hidden="1">
      <c r="A11" s="41" t="s">
        <v>964</v>
      </c>
      <c r="B11" s="39" t="str">
        <f t="shared" si="0"/>
        <v>Sent;Received;Bounced</v>
      </c>
      <c r="C11" t="s">
        <v>1006</v>
      </c>
      <c r="D11" t="s">
        <v>1007</v>
      </c>
      <c r="E11" t="s">
        <v>1008</v>
      </c>
      <c r="I11" s="23"/>
      <c r="J11" t="str">
        <f>_xlfn.XLOOKUP(A11,Channels!B:B,Channels!B:B,"MISSING",0,1)</f>
        <v>Direct Mail</v>
      </c>
    </row>
    <row r="12" spans="1:10" hidden="1">
      <c r="A12" s="41" t="s">
        <v>965</v>
      </c>
      <c r="B12" s="39" t="str">
        <f>_xlfn.TEXTJOIN(";",TRUE,C12:I12)</f>
        <v>Sent;Received;Read;Clicked;Responded;Opt-Out</v>
      </c>
      <c r="C12" t="s">
        <v>1006</v>
      </c>
      <c r="D12" t="s">
        <v>1007</v>
      </c>
      <c r="E12" t="s">
        <v>1009</v>
      </c>
      <c r="F12" t="s">
        <v>994</v>
      </c>
      <c r="G12" t="s">
        <v>1001</v>
      </c>
      <c r="H12" t="s">
        <v>1002</v>
      </c>
      <c r="I12" s="23"/>
      <c r="J12" t="str">
        <f>_xlfn.XLOOKUP(A12,Channels!B:B,Channels!B:B,"MISSING",0,1)</f>
        <v>Whatsapp</v>
      </c>
    </row>
    <row r="13" spans="1:10" hidden="1">
      <c r="A13" s="41" t="s">
        <v>966</v>
      </c>
      <c r="B13" s="39" t="str">
        <f t="shared" si="0"/>
        <v>Sent;Received;Read;Clicked;Responded;Opt-Out</v>
      </c>
      <c r="C13" t="s">
        <v>1006</v>
      </c>
      <c r="D13" t="s">
        <v>1007</v>
      </c>
      <c r="E13" t="s">
        <v>1009</v>
      </c>
      <c r="F13" t="s">
        <v>994</v>
      </c>
      <c r="G13" t="s">
        <v>1001</v>
      </c>
      <c r="H13" t="s">
        <v>1002</v>
      </c>
      <c r="I13" s="23"/>
      <c r="J13" t="str">
        <f>_xlfn.XLOOKUP(A13,Channels!B:B,Channels!B:B,"MISSING",0,1)</f>
        <v>RCS</v>
      </c>
    </row>
    <row r="14" spans="1:10" hidden="1">
      <c r="A14" s="41" t="s">
        <v>967</v>
      </c>
      <c r="B14" s="39" t="str">
        <f t="shared" si="0"/>
        <v>Sent;Received;Bounced;Opened;Clicked;Opt-Out;Responded</v>
      </c>
      <c r="C14" t="s">
        <v>1006</v>
      </c>
      <c r="D14" t="s">
        <v>1007</v>
      </c>
      <c r="E14" t="s">
        <v>1008</v>
      </c>
      <c r="F14" t="s">
        <v>1010</v>
      </c>
      <c r="G14" t="s">
        <v>994</v>
      </c>
      <c r="H14" t="s">
        <v>1002</v>
      </c>
      <c r="I14" s="23" t="s">
        <v>1001</v>
      </c>
      <c r="J14" t="str">
        <f>_xlfn.XLOOKUP(A14,Channels!B:B,Channels!B:B,"MISSING",0,1)</f>
        <v>Email</v>
      </c>
    </row>
    <row r="15" spans="1:10" hidden="1">
      <c r="A15" s="41" t="s">
        <v>970</v>
      </c>
      <c r="B15" s="39" t="str">
        <f t="shared" si="0"/>
        <v>Sent;Received;Bounced;Clicked;Responsed;Opt-Out</v>
      </c>
      <c r="C15" t="s">
        <v>1006</v>
      </c>
      <c r="D15" t="s">
        <v>1007</v>
      </c>
      <c r="E15" t="s">
        <v>1008</v>
      </c>
      <c r="F15" t="s">
        <v>994</v>
      </c>
      <c r="G15" t="s">
        <v>1011</v>
      </c>
      <c r="H15" t="s">
        <v>1002</v>
      </c>
      <c r="I15" s="23"/>
      <c r="J15" t="str">
        <f>_xlfn.XLOOKUP(A15,Channels!B:B,Channels!B:B,"MISSING",0,1)</f>
        <v>SMS</v>
      </c>
    </row>
    <row r="16" spans="1:10" hidden="1">
      <c r="A16" s="41" t="s">
        <v>973</v>
      </c>
      <c r="B16" s="39" t="str">
        <f t="shared" si="0"/>
        <v>Sent;Received;Bounced;Clicked;Responsed;Opt-Out</v>
      </c>
      <c r="C16" t="s">
        <v>1006</v>
      </c>
      <c r="D16" t="s">
        <v>1007</v>
      </c>
      <c r="E16" t="s">
        <v>1008</v>
      </c>
      <c r="F16" t="s">
        <v>994</v>
      </c>
      <c r="G16" t="s">
        <v>1011</v>
      </c>
      <c r="H16" t="s">
        <v>1002</v>
      </c>
      <c r="I16" s="23"/>
      <c r="J16" t="str">
        <f>_xlfn.XLOOKUP(A16,Channels!B:B,Channels!B:B,"MISSING",0,1)</f>
        <v>MMS</v>
      </c>
    </row>
    <row r="17" spans="1:10" hidden="1">
      <c r="A17" s="41" t="s">
        <v>974</v>
      </c>
      <c r="B17" s="39" t="str">
        <f t="shared" si="0"/>
        <v>Sent;Received;Clicked</v>
      </c>
      <c r="C17" t="s">
        <v>1006</v>
      </c>
      <c r="D17" t="s">
        <v>1007</v>
      </c>
      <c r="F17" t="s">
        <v>994</v>
      </c>
      <c r="I17" s="23"/>
      <c r="J17" t="str">
        <f>_xlfn.XLOOKUP(A17,Channels!B:B,Channels!B:B,"MISSING",0,1)</f>
        <v>App Push Notification</v>
      </c>
    </row>
    <row r="18" spans="1:10" hidden="1">
      <c r="A18" s="41" t="s">
        <v>980</v>
      </c>
      <c r="B18" s="39" t="str">
        <f t="shared" si="0"/>
        <v>Invited;Attended</v>
      </c>
      <c r="C18" t="s">
        <v>1012</v>
      </c>
      <c r="D18" t="s">
        <v>1004</v>
      </c>
      <c r="I18" s="23"/>
      <c r="J18" t="str">
        <f>_xlfn.XLOOKUP(A18,Channels!B:B,Channels!B:B,"MISSING",0,1)</f>
        <v>Sales Meetings</v>
      </c>
    </row>
    <row r="19" spans="1:10" hidden="1">
      <c r="A19" s="41" t="s">
        <v>982</v>
      </c>
      <c r="B19" s="39" t="str">
        <f t="shared" si="0"/>
        <v>Dialled;Answered;Engaged</v>
      </c>
      <c r="C19" t="s">
        <v>1013</v>
      </c>
      <c r="D19" t="s">
        <v>1014</v>
      </c>
      <c r="E19" t="s">
        <v>1015</v>
      </c>
      <c r="I19" s="23"/>
      <c r="J19" t="str">
        <f>_xlfn.XLOOKUP(A19,Channels!B:B,Channels!B:B,"MISSING",0,1)</f>
        <v>Sales Calls</v>
      </c>
    </row>
    <row r="20" spans="1:10" hidden="1">
      <c r="A20" s="41" t="s">
        <v>983</v>
      </c>
      <c r="B20" s="39" t="str">
        <f t="shared" si="0"/>
        <v>Sent;Received;Bounced;Opened;Clicked;Opt-Out;Responded</v>
      </c>
      <c r="C20" t="s">
        <v>1006</v>
      </c>
      <c r="D20" t="s">
        <v>1007</v>
      </c>
      <c r="E20" t="s">
        <v>1008</v>
      </c>
      <c r="F20" t="s">
        <v>1010</v>
      </c>
      <c r="G20" t="s">
        <v>994</v>
      </c>
      <c r="H20" t="s">
        <v>1002</v>
      </c>
      <c r="I20" s="23" t="s">
        <v>1001</v>
      </c>
      <c r="J20" t="str">
        <f>_xlfn.XLOOKUP(A20,Channels!B:B,Channels!B:B,"MISSING",0,1)</f>
        <v>Sales Email</v>
      </c>
    </row>
    <row r="21" spans="1:10">
      <c r="A21" s="42" t="s">
        <v>984</v>
      </c>
      <c r="B21" s="40" t="str">
        <f t="shared" si="0"/>
        <v>Called</v>
      </c>
      <c r="C21" s="24" t="s">
        <v>1016</v>
      </c>
      <c r="D21" s="24"/>
      <c r="E21" s="24"/>
      <c r="F21" s="24"/>
      <c r="G21" s="24"/>
      <c r="H21" s="24"/>
      <c r="I21" s="25"/>
      <c r="J21" t="str">
        <f>_xlfn.XLOOKUP(A21,Channels!B:B,Channels!B:B,"MISSING",0,1)</f>
        <v>Inbound Calls</v>
      </c>
    </row>
    <row r="22" spans="1:10" hidden="1">
      <c r="A22" s="41" t="s">
        <v>975</v>
      </c>
      <c r="B22" s="39" t="str">
        <f t="shared" ref="B22:B23" si="1">_xlfn.TEXTJOIN(";",TRUE,C22:I22)</f>
        <v>Attempted;Answered;Conversed</v>
      </c>
      <c r="C22" t="s">
        <v>1017</v>
      </c>
      <c r="D22" t="s">
        <v>1014</v>
      </c>
      <c r="E22" t="s">
        <v>1018</v>
      </c>
      <c r="I22" s="23"/>
      <c r="J22" t="str">
        <f>_xlfn.XLOOKUP(A22,Channels!B:B,Channels!B:B,"MISSING",0,1)</f>
        <v>Telemarketing</v>
      </c>
    </row>
    <row r="23" spans="1:10" hidden="1">
      <c r="A23" s="41" t="s">
        <v>978</v>
      </c>
      <c r="B23" s="39" t="str">
        <f t="shared" si="1"/>
        <v>Initiated;Answered;Disconnected</v>
      </c>
      <c r="C23" t="s">
        <v>1019</v>
      </c>
      <c r="D23" t="s">
        <v>1014</v>
      </c>
      <c r="E23" t="s">
        <v>1020</v>
      </c>
      <c r="I23" s="23"/>
      <c r="J23" t="str">
        <f>_xlfn.XLOOKUP(A23,Channels!B:B,Channels!B:B,"MISSING",0,1)</f>
        <v>Online Chat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0" ma:contentTypeDescription="Create a new document." ma:contentTypeScope="" ma:versionID="cd5889db134979e54dcf054cdc4727ec">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fdf5543a8e45e11fa247a01810ff6e7b"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1D98BA-C602-41F7-9CF6-ADC2B2B0572D}"/>
</file>

<file path=customXml/itemProps2.xml><?xml version="1.0" encoding="utf-8"?>
<ds:datastoreItem xmlns:ds="http://schemas.openxmlformats.org/officeDocument/2006/customXml" ds:itemID="{221E8208-2559-4473-AFD3-FB4000FD0DD1}"/>
</file>

<file path=customXml/itemProps3.xml><?xml version="1.0" encoding="utf-8"?>
<ds:datastoreItem xmlns:ds="http://schemas.openxmlformats.org/officeDocument/2006/customXml" ds:itemID="{51BB428E-D1CA-47E8-B784-F33B49A13D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2025-10-24T02:16:14Z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