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btgroupcloud.sharepoint.com/teams/CampaignManagementTransformation/Shared Documents/ROI and Attribution/2. Data Design &amp; Engineering/3. Designs (Inc. Mapping Sheets)/"/>
    </mc:Choice>
  </mc:AlternateContent>
  <xr:revisionPtr revIDLastSave="0" documentId="8_{B598A25A-5F91-4ECA-A462-A85BA9F49793}" xr6:coauthVersionLast="47" xr6:coauthVersionMax="47" xr10:uidLastSave="{00000000-0000-0000-0000-000000000000}"/>
  <bookViews>
    <workbookView xWindow="-108" yWindow="-108" windowWidth="23256" windowHeight="12456" tabRatio="719" xr2:uid="{EFC15C39-DC71-4D84-BB64-C304B1E6FB49}"/>
  </bookViews>
  <sheets>
    <sheet name="objects" sheetId="1" r:id="rId1"/>
    <sheet name="Attributes" sheetId="2" r:id="rId2"/>
    <sheet name="Field name checks" sheetId="8" r:id="rId3"/>
    <sheet name="Sheet1" sheetId="6" state="hidden" r:id="rId4"/>
    <sheet name="Object Relationships Diagram" sheetId="7" r:id="rId5"/>
    <sheet name="Aggregations and Calculations" sheetId="3" r:id="rId6"/>
    <sheet name="Channels" sheetId="4" r:id="rId7"/>
    <sheet name="Interaction Types" sheetId="5" r:id="rId8"/>
  </sheets>
  <definedNames>
    <definedName name="_xlnm._FilterDatabase" localSheetId="1" hidden="1">Attributes!$A$1:$J$340</definedName>
    <definedName name="_xlnm._FilterDatabase" localSheetId="6" hidden="1">Channels!$A$1:$I$23</definedName>
    <definedName name="_xlnm._FilterDatabase" localSheetId="0" hidden="1">objects!$A$1:$M$1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25" i="2" l="1"/>
  <c r="O224" i="2"/>
  <c r="O223" i="2"/>
  <c r="O222"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6" i="2"/>
  <c r="O227" i="2"/>
  <c r="O228" i="2"/>
  <c r="O229" i="2"/>
  <c r="O230" i="2"/>
  <c r="O231" i="2"/>
  <c r="G22" i="1"/>
  <c r="G21" i="1"/>
  <c r="G20" i="1"/>
  <c r="G19" i="1"/>
  <c r="G18" i="1"/>
  <c r="G17" i="1"/>
  <c r="G16" i="1"/>
  <c r="G15" i="1"/>
  <c r="G14" i="1"/>
  <c r="G13" i="1"/>
  <c r="G12" i="1"/>
  <c r="G11" i="1"/>
  <c r="G10" i="1"/>
  <c r="G9" i="1"/>
  <c r="G8" i="1"/>
  <c r="G7" i="1"/>
  <c r="G6" i="1"/>
  <c r="G5" i="1"/>
  <c r="G4" i="1"/>
  <c r="G3" i="1"/>
  <c r="G2" i="1"/>
  <c r="O322" i="2"/>
  <c r="O323"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4" i="2"/>
  <c r="O325" i="2"/>
  <c r="O326" i="2"/>
  <c r="O327" i="2"/>
  <c r="O328" i="2"/>
  <c r="O329" i="2"/>
  <c r="O330" i="2"/>
  <c r="O331" i="2"/>
  <c r="O332" i="2"/>
  <c r="O333" i="2"/>
  <c r="O334" i="2"/>
  <c r="O335" i="2"/>
  <c r="O336" i="2"/>
  <c r="O337" i="2"/>
  <c r="O338" i="2"/>
  <c r="O339" i="2"/>
  <c r="O340" i="2"/>
  <c r="J12" i="1"/>
  <c r="B23" i="5"/>
  <c r="B19" i="5"/>
  <c r="B10" i="5"/>
  <c r="H21" i="4"/>
  <c r="H19" i="4"/>
  <c r="H18" i="4"/>
  <c r="H12" i="4"/>
  <c r="H5" i="4"/>
  <c r="B8" i="5"/>
  <c r="H23" i="4" s="1"/>
  <c r="B14" i="5"/>
  <c r="H22" i="4" s="1"/>
  <c r="B13" i="5"/>
  <c r="B15" i="5"/>
  <c r="H20" i="4" s="1"/>
  <c r="B3" i="5"/>
  <c r="H17" i="4" s="1"/>
  <c r="B9" i="5"/>
  <c r="H16" i="4" s="1"/>
  <c r="B16" i="5"/>
  <c r="H15" i="4" s="1"/>
  <c r="B6" i="5"/>
  <c r="H14" i="4" s="1"/>
  <c r="B12" i="5"/>
  <c r="H13" i="4" s="1"/>
  <c r="B5" i="5"/>
  <c r="H11" i="4" s="1"/>
  <c r="B22" i="5"/>
  <c r="H10" i="4" s="1"/>
  <c r="B7" i="5"/>
  <c r="H9" i="4" s="1"/>
  <c r="B20" i="5"/>
  <c r="H8" i="4" s="1"/>
  <c r="B17" i="5"/>
  <c r="H7" i="4" s="1"/>
  <c r="B18" i="5"/>
  <c r="H6" i="4" s="1"/>
  <c r="B2" i="5"/>
  <c r="B21" i="5"/>
  <c r="H4" i="4" s="1"/>
  <c r="B4" i="5"/>
  <c r="H3" i="4" s="1"/>
  <c r="B11" i="5"/>
  <c r="H2" i="4" s="1"/>
  <c r="N9" i="6"/>
  <c r="N8" i="6"/>
  <c r="N7" i="6"/>
  <c r="N6" i="6"/>
  <c r="N5" i="6"/>
  <c r="N4" i="6"/>
  <c r="N3" i="6"/>
  <c r="N2" i="6"/>
  <c r="B5" i="8" l="1"/>
  <c r="B17" i="8"/>
  <c r="B29" i="8"/>
  <c r="B6" i="8"/>
  <c r="B18" i="8"/>
  <c r="B30" i="8"/>
  <c r="B7" i="8"/>
  <c r="B19" i="8"/>
  <c r="B31" i="8"/>
  <c r="B8" i="8"/>
  <c r="B20" i="8"/>
  <c r="B32" i="8"/>
  <c r="B9" i="8"/>
  <c r="B21" i="8"/>
  <c r="B33" i="8"/>
  <c r="B10" i="8"/>
  <c r="B22" i="8"/>
  <c r="B34" i="8"/>
  <c r="B11" i="8"/>
  <c r="B23" i="8"/>
  <c r="B35" i="8"/>
  <c r="B12" i="8"/>
  <c r="B24" i="8"/>
  <c r="B13" i="8"/>
  <c r="B25" i="8"/>
  <c r="B2" i="8"/>
  <c r="B14" i="8"/>
  <c r="B26" i="8"/>
  <c r="B3" i="8"/>
  <c r="B15" i="8"/>
  <c r="B27" i="8"/>
  <c r="B4" i="8"/>
  <c r="B16" i="8"/>
  <c r="B2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tc={57FA6171-D98F-4CBE-BFC6-0F80D28C0683}</author>
    <author>tc={0274946B-05FE-4A74-940A-A8DC46B315F1}</author>
    <author>tc={710AF4BE-211D-4E73-BD3F-C39C02D0E5DC}</author>
    <author>tc={B1C76761-6506-4B3F-A378-69D1147B5870}</author>
    <author>tc={8497C7DA-1239-4373-88D7-CCD3FD1374B1}</author>
    <author>tc={E6C090DE-4499-4707-85E3-463C002A1496}</author>
    <author>tc={1BBB7B82-CD99-47EB-BFCC-971EC85BD5F2}</author>
    <author>tc={5334DB75-EB91-4C77-B14B-4E2E257AAAA3}</author>
    <author>tc={A21A424B-EA20-47AA-86B5-696100E6F35A}</author>
    <author>tc={F0D8DAE0-146C-4F64-BDFC-08EEA662B13C}</author>
    <author>tc={54B0C543-2BBB-4A1C-BE36-C8332C8DA97B}</author>
    <author>tc={3F3B93DB-884E-4D03-90A3-44794742F778}</author>
    <author>tc={B067FDC9-DF9D-4CAA-8A5C-8BB4B5C5C9E7}</author>
  </authors>
  <commentList>
    <comment ref="B22" authorId="0" shapeId="0" xr:uid="{57FA6171-D98F-4CBE-BFC6-0F80D28C0683}">
      <text>
        <t xml:space="preserve">[Threaded comment]
Your version of Excel allows you to read this threaded comment; however, any edits to it will get removed if the file is opened in a newer version of Excel. Learn more: https://go.microsoft.com/fwlink/?linkid=870924
Comment:
    @David Irvine 
Model Type id like rule/technique id/version may be needed
</t>
      </text>
    </comment>
    <comment ref="C23" authorId="1" shapeId="0" xr:uid="{0274946B-05FE-4A74-940A-A8DC46B315F1}">
      <text>
        <t>[Threaded comment]
Your version of Excel allows you to read this threaded comment; however, any edits to it will get removed if the file is opened in a newer version of Excel. Learn more: https://go.microsoft.com/fwlink/?linkid=870924
Comment:
    @David Irvine 
Example please
Reply:
    See Example Values</t>
      </text>
    </comment>
    <comment ref="G69" authorId="2" shapeId="0" xr:uid="{710AF4BE-211D-4E73-BD3F-C39C02D0E5DC}">
      <text>
        <t xml:space="preserve">[Threaded comment]
Your version of Excel allows you to read this threaded comment; however, any edits to it will get removed if the file is opened in a newer version of Excel. Learn more: https://go.microsoft.com/fwlink/?linkid=870924
Comment:
    @David Irvine 
(i)how to differentiate from BTL if there is more than one individual to be contacted (ii) Is there a specific channel available like collaborative-event. Any example for 'Sales' as a channel please
</t>
      </text>
    </comment>
    <comment ref="G70" authorId="3" shapeId="0" xr:uid="{B1C76761-6506-4B3F-A378-69D1147B5870}">
      <text>
        <t xml:space="preserve">[Threaded comment]
Your version of Excel allows you to read this threaded comment; however, any edits to it will get removed if the file is opened in a newer version of Excel. Learn more: https://go.microsoft.com/fwlink/?linkid=870924
Comment:
    @David Irvine 
Conversation may be divided to Chat &amp; Call by BT representative (including AI assisted )
</t>
      </text>
    </comment>
    <comment ref="B124" authorId="4" shapeId="0" xr:uid="{8497C7DA-1239-4373-88D7-CCD3FD1374B1}">
      <text>
        <t>[Threaded comment]
Your version of Excel allows you to read this threaded comment; however, any edits to it will get removed if the file is opened in a newer version of Excel. Learn more: https://go.microsoft.com/fwlink/?linkid=870924
Comment:
    @David Irvine 
May need to be product like Broadbrand , BT net etc) not Marketing Asset (like bulletin board, pamphlet etc)
Reply:
    See comment on product family</t>
      </text>
    </comment>
    <comment ref="L147" authorId="5" shapeId="0" xr:uid="{E6C090DE-4499-4707-85E3-463C002A1496}">
      <text>
        <t>[Threaded comment]
Your version of Excel allows you to read this threaded comment; however, any edits to it will get removed if the file is opened in a newer version of Excel. Learn more: https://go.microsoft.com/fwlink/?linkid=870924
Comment:
    In discussion it was told values to be Provide, Resign and Churn, but example values show Provide, Mixed, Cease so not clear which set is needed
Reply:
    If the field you are looking at contains values of Mixed then we need a different field. For each Item we should know if its a provide or a cease. Perhaps we need to look at the order item action type</t>
      </text>
    </comment>
    <comment ref="L148" authorId="6" shapeId="0" xr:uid="{1BBB7B82-CD99-47EB-BFCC-971EC85BD5F2}">
      <text>
        <t>[Threaded comment]
Your version of Excel allows you to read this threaded comment; however, any edits to it will get removed if the file is opened in a newer version of Excel. Learn more: https://go.microsoft.com/fwlink/?linkid=870924
Comment:
    Sales channel values are
   Indirect Partner Sales
NI
Bus Sales New
CPS
Other
Bus Sales
Global Services
BTLB - London
Digital
EE Online
SME DESK Online
SME Field
BTBus Online
Retail
EE
Desk Other
BTLB - Other
Outbound
BTLB - SALESLAB
EE Inbound
Glasgow SME Outbound
Retention
SME DESK
BTLB - South
Voice Inbound
BTLB - North
BTLB - Central
Outbound Voice
Glasgow SoHo Outbound
Enterprise Service
BTLB - West
Enterprise Sales Enablement
Other_SC
BTLB
EE Major Public Sector
SME Mid-Market
Reply:
    It may be then we need a higher level field that categories these, I.E. BTLB's Desk,...</t>
      </text>
    </comment>
    <comment ref="L150" authorId="7" shapeId="0" xr:uid="{5334DB75-EB91-4C77-B14B-4E2E257AAAA3}">
      <text>
        <t xml:space="preserve">[Threaded comment]
Your version of Excel allows you to read this threaded comment; however, any edits to it will get removed if the file is opened in a newer version of Excel. Learn more: https://go.microsoft.com/fwlink/?linkid=870924
Comment:
    Not directly available, it can be combination of Order status and order status date, need to understand from order table SME
</t>
      </text>
    </comment>
    <comment ref="L159" authorId="8" shapeId="0" xr:uid="{A21A424B-EA20-47AA-86B5-696100E6F35A}">
      <text>
        <t xml:space="preserve">[Threaded comment]
Your version of Excel allows you to read this threaded comment; however, any edits to it will get removed if the file is opened in a newer version of Excel. Learn more: https://go.microsoft.com/fwlink/?linkid=870924
Comment:
    Not directly available, it can be combination of Order status and order status date, need to understand from order table SME
</t>
      </text>
    </comment>
    <comment ref="L164" authorId="9" shapeId="0" xr:uid="{F0D8DAE0-146C-4F64-BDFC-08EEA662B13C}">
      <text>
        <t xml:space="preserve">[Threaded comment]
Your version of Excel allows you to read this threaded comment; however, any edits to it will get removed if the file is opened in a newer version of Excel. Learn more: https://go.microsoft.com/fwlink/?linkid=870924
Comment:
    Not directly available, it can be combination of Order status and order status date, need to understand from order table SME
</t>
      </text>
    </comment>
    <comment ref="L165" authorId="10" shapeId="0" xr:uid="{54B0C543-2BBB-4A1C-BE36-C8332C8DA97B}">
      <text>
        <t>[Threaded comment]
Your version of Excel allows you to read this threaded comment; however, any edits to it will get removed if the file is opened in a newer version of Excel. Learn more: https://go.microsoft.com/fwlink/?linkid=870924
Comment:
    In core order SOV is recurring charge and one off is a separate column, we migh need to align ROI order in same format.
Reply:
    Yes Agreed we can change structure to align.</t>
      </text>
    </comment>
    <comment ref="L167" authorId="11" shapeId="0" xr:uid="{3F3B93DB-884E-4D03-90A3-44794742F778}">
      <text>
        <t>[Threaded comment]
Your version of Excel allows you to read this threaded comment; however, any edits to it will get removed if the file is opened in a newer version of Excel. Learn more: https://go.microsoft.com/fwlink/?linkid=870924
Comment:
    Could be combination of 2 fields CEASE_REASON_GROUP and CEASE_REASON_SUB_GROUP values are
Process	
Migration	Internal
Insolvency	Compulsory
Insolvency	Bad Debt
Insolvency	Downsizing
Migration	Corporate
Competitor	Three
Competitor	O2
Fraud	Fraud
Competitor	Other
Migration	EE
14dmb	14dmb
Migration	BT Business
Competitor	Vodafone
Insolvency	Voluntary
Competitor	o2
Migration	BT One Phone
Migration	
Migration	BT Consumer
Competitor	Sky
Process	Other
Reply:
    Just have 2 seperate fields</t>
      </text>
    </comment>
    <comment ref="L171" authorId="12" shapeId="0" xr:uid="{B067FDC9-DF9D-4CAA-8A5C-8BB4B5C5C9E7}">
      <text>
        <t xml:space="preserve">[Threaded comment]
Your version of Excel allows you to read this threaded comment; however, any edits to it will get removed if the file is opened in a newer version of Excel. Learn more: https://go.microsoft.com/fwlink/?linkid=870924
Comment:
    Order_item_num row is getting repeated, need to understand from core order SME the view structure.
Reply:
    Let us know what you find
</t>
      </text>
    </comment>
  </commentList>
</comments>
</file>

<file path=xl/sharedStrings.xml><?xml version="1.0" encoding="utf-8"?>
<sst xmlns="http://schemas.openxmlformats.org/spreadsheetml/2006/main" count="2389" uniqueCount="1221">
  <si>
    <t>Name</t>
  </si>
  <si>
    <t>Generation Method</t>
  </si>
  <si>
    <t>Description</t>
  </si>
  <si>
    <t>Purpose (Attribution)</t>
  </si>
  <si>
    <t>*Purpose (Analytics)</t>
  </si>
  <si>
    <t>Granularity</t>
  </si>
  <si>
    <t>Field Count</t>
  </si>
  <si>
    <t>generate?</t>
  </si>
  <si>
    <t>generation_order</t>
  </si>
  <si>
    <t>Generate_Rows</t>
  </si>
  <si>
    <t xml:space="preserve">existing consumption project </t>
  </si>
  <si>
    <t>bps_roi_rw</t>
  </si>
  <si>
    <t>extend the views/objects</t>
  </si>
  <si>
    <t>Phase</t>
  </si>
  <si>
    <t>Order</t>
  </si>
  <si>
    <t>Interactions</t>
  </si>
  <si>
    <t>Source System</t>
  </si>
  <si>
    <t>Tracked activities by individuals that show they are engaging with an Asset.</t>
  </si>
  <si>
    <t>This Justifies that the marketing activity was engaged with by the individual and so supports the implication that thier buying decision was influenced by the result.
Greater strength of interaction with marketing activity can be used for increased attribution of outcome to that activity.</t>
  </si>
  <si>
    <t>This may be used for more targeted and channel specific assets engagement reporting.</t>
  </si>
  <si>
    <t>Each row links one person to one activity. There may be multiple interactions for a person to an Activity</t>
  </si>
  <si>
    <t>y</t>
  </si>
  <si>
    <t>MVP-1</t>
  </si>
  <si>
    <t>Marketing Activity</t>
  </si>
  <si>
    <t>Outbound, proactive, targeted distribution of marketing assets (e.g., emails, calls, direct mail).
Or
Organic, content-driven strategies that attract and engage audiences on their own terms (e.g., social posts, billboards, website content).</t>
  </si>
  <si>
    <t>This Identifies the actions that BT Carries out and is ultimately the most granular element of Marketing activity that BT can optimise.</t>
  </si>
  <si>
    <t>Again this is a baseline for the marketing activity that has been carried out by BT.</t>
  </si>
  <si>
    <t>Each Row represents the Sending of a single assets to a single contact point which may be an individual or company.
This is based on the experiance of the reciepient, So technical retries due to failure wouldn’t result in multiple rows, But if the User recieved two duplicate messages at the same time this would be 2 seperate rows.
This covers everyone who was selected in the audience to receive the communication, Including the Control Cell audience.
OR
Each Row represents a BT action to any number of people. Each action should have a Time or a timeframe where it would be consistantly showing the same asset.
Given the audience is Unknown one row here might have multiple engagements from Multiple Individuals or Companies.</t>
  </si>
  <si>
    <t>Orders</t>
  </si>
  <si>
    <t>Point in Time revenue generating events related to a specific company and product.</t>
  </si>
  <si>
    <t>This is an outcome to be attributed to influence activities.</t>
  </si>
  <si>
    <t>Used to show the attributed outcomes</t>
  </si>
  <si>
    <t>Each Row should be a single product, sold at a specific point in time, to a specific company.
Order of multiple units could be grouped to a single row.
Mutiple different products sold at the same time to the same company as part of a single purchase event should still be different rows.</t>
  </si>
  <si>
    <t>Person</t>
  </si>
  <si>
    <t>This contains all information related to an individual who is a customer or prospect</t>
  </si>
  <si>
    <t>Used as part of the linking chain for activities through to outcomes.
Person attributes may contribute to external factors for weighting of attribution.</t>
  </si>
  <si>
    <t>May be used for non attribution analytics looking at specific person activity.
Useful for specific attribution investigation and validation.</t>
  </si>
  <si>
    <t>To be decided, Might be outside the scope of this project to resolve person identities.
Suggested initially maintain the grain of the source systems person objects. So a Row represents one marketo person record,…</t>
  </si>
  <si>
    <t>Company</t>
  </si>
  <si>
    <t>This represents a company entity at potentially multiple grains.</t>
  </si>
  <si>
    <t>Used as part of the linking chain for activities through to outcomes.
People link to a company, Outcomes link to a company,
Companies link to other companies through thier hierachy.
Company attributes may contribute to external factors for weighting of attribution.</t>
  </si>
  <si>
    <t>May be used for non attribution analytics looking at specific company activity.
Useful for specific attribution investigation and validation.</t>
  </si>
  <si>
    <t>Each Row represents on company object at a specific BT grain, I.E. CUG or Billing Account,…
These objects would have self hierarchicle relationships that links for example billing accounts to CUGs.
So there would be a row for each billing account then a seperate row for each CUG,…
The MDM project may result in a more standardised object being available. At which point it may be that all activity and Outcomes can be standardised to a specific grain.</t>
  </si>
  <si>
    <t>Person Company Role</t>
  </si>
  <si>
    <t>Represents the relationship a person has with a company. I.E. decision maker, influences.
Enables the concept of a person have relationships with multiple companies.</t>
  </si>
  <si>
    <t>Used as part of the linking of activity to outcome.
Role used for attribution wieghting and filtering.</t>
  </si>
  <si>
    <t>Useful for other non attribution analytical views.</t>
  </si>
  <si>
    <t>Each row represents a the role a person has with a company.
The same person may be linked to the same company multiple times with different roles. this would be multiple rows.</t>
  </si>
  <si>
    <t>N</t>
  </si>
  <si>
    <t>Dependant</t>
  </si>
  <si>
    <t>Attribution Linking Table</t>
  </si>
  <si>
    <t>Derived</t>
  </si>
  <si>
    <t>The cross reference table between the Marketing Activity and Outcome Tables.</t>
  </si>
  <si>
    <t>This contains the raw relationships that could be attributed.</t>
  </si>
  <si>
    <t>Not useful for Other Analytical purposes.</t>
  </si>
  <si>
    <t>Each Row represents the relationship between an outcome and an activity for a Given model.</t>
  </si>
  <si>
    <t>Y</t>
  </si>
  <si>
    <t>Products</t>
  </si>
  <si>
    <t>Describes the BT Product Catelogue at different levels and contains the hierachy of products</t>
  </si>
  <si>
    <t>Enables linking of both marketing activity and outcomes to the same products for relevance matching.</t>
  </si>
  <si>
    <t>Used for comparing and filtering across all levels.</t>
  </si>
  <si>
    <t>Each Row represents a product or group or family, All levels of heirachy are contained.</t>
  </si>
  <si>
    <t>Attribution Model Output Table</t>
  </si>
  <si>
    <t xml:space="preserve">Data Science Team </t>
  </si>
  <si>
    <t>Percentages that a model has assigned as the impact of a marketing activity to an outcome.</t>
  </si>
  <si>
    <t>This is the Main output for the attribution modelling</t>
  </si>
  <si>
    <t>Core to all attribution metrics</t>
  </si>
  <si>
    <t>Each Row represents a single marketing activity linked to a single outcome for a particular model.
There may be multiple models that have assigned different attribution levels for the same marketing activity to the same outcome element.
Within a single model there would neven be multiple entries for the same marketing activity and outcome element interaction.
Not every marketing activity will be linked to event outcome element.</t>
  </si>
  <si>
    <t>Campaigns</t>
  </si>
  <si>
    <t>A group of marketing activities designed to support a specific business objective or overaching message.</t>
  </si>
  <si>
    <t>May be used to influence attribution wieghting as contains metadata that might indicate how relevant the content was for the linked outcome.</t>
  </si>
  <si>
    <t>Use for comparing campaign performance.
Used for filtering to activity within a specific campaign or attribute of campaign.</t>
  </si>
  <si>
    <t>This is defined by the use of monday.com to generate a grouping.
each Campaign should have a unique Monday Code.
Iideally each campaign should have a clear and distinct audience. Be aligned to a single objective.
We expect Asset reuse to be contained to a single campaign.
Campaigns may superseed each other if there is a singificant overhall of content or delivery machanisms. In this case there would be multiple Rows representing each version of the campaign.</t>
  </si>
  <si>
    <t>bps_roi_ro/DSS(Archect review Qlik)</t>
  </si>
  <si>
    <t>MVP-2</t>
  </si>
  <si>
    <t>Channels</t>
  </si>
  <si>
    <t>MRD</t>
  </si>
  <si>
    <t>A method of Delivering Content/assets to customers. E.G. Email.</t>
  </si>
  <si>
    <t>May be used to generalise and estimate the proportion of outcomes attributed back to activity.</t>
  </si>
  <si>
    <t>Use for comparison and filtering on dashboards to compare between channels and compare within a channel.</t>
  </si>
  <si>
    <t>Each channel represents a different way the customer experiances recieving the Asset.
This is a reference table So each channel should be agreed and defined, This should be technology agnostic from BT delivery method. But might be technology relevant for delivery platform, Where BT has control.
That is each Social Media platform is a different channel, Within those Ads Vs Organic Would be a different channel.
But within Email there wouldn’t be different channels for the different email clients a person may recieve an email with.</t>
  </si>
  <si>
    <t>Facilitation Tool</t>
  </si>
  <si>
    <t>A BT tool that facilitates the delivery of content/asssets to the Customers.</t>
  </si>
  <si>
    <t>Attribution shouldn’t use this information.</t>
  </si>
  <si>
    <t>Usefuly for Comparison and Filtering, So understand perfomance of similar channels and campaigns across different platforms. And to Understand within platforms performance.</t>
  </si>
  <si>
    <t>Each row Represents a single platform. This is a reference table.
Some decisions need to be made as to how platform bundles and addons should be Represented.
Suggest each row represents the complete tool. All the elements accessible from a single interface/Has a seperate contract/cost/Would be expected to be used by the same person.</t>
  </si>
  <si>
    <t>Marketing Assets</t>
  </si>
  <si>
    <t>This is a piece of content or experiance that would be expected to be engaged with at a single point in time.</t>
  </si>
  <si>
    <t>Useful for comparison within a particular channel to find find grain improvements</t>
  </si>
  <si>
    <t>Each Row Represents a single piece of content, This may be an email, article, event. Some channel specific examples.
Short events / Webinars might be one asset, Longer Events may be split into session.
Variations of an email that share a meaningfully different message would be seperate assets. But emails that differ only in personalisation changes would be one asset.
An assets should be something that everyone experiances the same way. No two people should have meaningfully different experiances with that asset.</t>
  </si>
  <si>
    <t>Audience</t>
  </si>
  <si>
    <t>A set of chriteria that defined a group of people who might be targeted for a communication or may be expected to be influenced by an asset.</t>
  </si>
  <si>
    <t>Purpose here is to provide a linking methodology for Assets where direct influence to individuals is not possible due to the delivery channel.</t>
  </si>
  <si>
    <t>Not used for Analytics</t>
  </si>
  <si>
    <t>A specific and complete set of criteria would be contained in a single row. This same audience may be utilised by multiple assets or channels. This wouldn’t result in multiple Audience rows.
Multiple audiences criteria may have overlapping members.
And audience respresents the complete criteria a communicatino wouldn’t go to some intersection of two audiences, This example would be a third audience.</t>
  </si>
  <si>
    <t>Opportunities</t>
  </si>
  <si>
    <t>The Opportunity to have a sales focussed discussion/process with an individual to sell a specific product, group of products, or package. With an end success for failure result.</t>
  </si>
  <si>
    <r>
      <t xml:space="preserve">Each Row represents a period of time attempting to sell a to a specific interest for a specific company. This should end in a success or failure.
A Second row could represent a further attempt to sell to the same interest to the same company at a different time. E.g. Each yearly renewal.
Multiple individuals can be involved with a single opportunity this would be 1 row.
Two distinct groups of individuals E.G. different local decision makers at different sites, Could be seperate rows for the same interest at the same company. If it was possible for these to have different outcomes.
An Opportunity could be selling multiple Products.
</t>
    </r>
    <r>
      <rPr>
        <b/>
        <sz val="11"/>
        <color theme="1"/>
        <rFont val="Aptos Narrow"/>
        <family val="2"/>
        <scheme val="minor"/>
      </rPr>
      <t>Ultimately this should match the current in system opportunity grain.</t>
    </r>
  </si>
  <si>
    <t>n</t>
  </si>
  <si>
    <t>Customer Value Change</t>
  </si>
  <si>
    <t>Logic to be derived</t>
  </si>
  <si>
    <t>Point in time changes in customer value taking into account all product/Subscription changes happening at that account.</t>
  </si>
  <si>
    <t>Each Row represents a company and a time period for that company, Showing its value change.
There should be no overlapping of time periods for that company.
Suggestion this is grouped to a monthly time period. I.E. each row represents the value change for a company over a month.
If there was no value change then no row needs to exist.</t>
  </si>
  <si>
    <t>Dropped From Scope</t>
  </si>
  <si>
    <t>Retention</t>
  </si>
  <si>
    <t>Point in Time where companies started &amp; cease to be a customer of BT.</t>
  </si>
  <si>
    <t>Each Row represents the point in time that a company changed its status as a customer with each BT Brand.
If a company leaves and rejoins and leaves again there would be multiple rows for each of these events.
If a company leaves as a BT and EE customer there would be two seperate rows for these events.</t>
  </si>
  <si>
    <t>Attribution Model</t>
  </si>
  <si>
    <t>Description of the Model and Run parameters</t>
  </si>
  <si>
    <t>This is suplimentary information to the main output for the attribution modelling.</t>
  </si>
  <si>
    <t>Used to manage and identify which model should be used in which circumstance and when models should no longer be shown in the dashboarding views.</t>
  </si>
  <si>
    <t>Each Row represents an different model or iteration of a model.
Model iterations would be where all the data has been recalculated with some meaningful change to input parameters.</t>
  </si>
  <si>
    <t>Date Dimension</t>
  </si>
  <si>
    <t>Calendar Table that contains all dates, For a unified reference.
Expecting something like this already exists close to other analytics use cases.</t>
  </si>
  <si>
    <t>Used for Date difference calculations and core attribution logic matching</t>
  </si>
  <si>
    <t>Dashboard Filtering and timeline Dimensions</t>
  </si>
  <si>
    <t>Each Row Represents a Day</t>
  </si>
  <si>
    <t>Outcome Change Set</t>
  </si>
  <si>
    <t>This is a group of orders for a customer that are grouped as related</t>
  </si>
  <si>
    <t>Not Used For Attribution</t>
  </si>
  <si>
    <t>Used for reporting grouping CVC at a customer level and giving additional context to Attribution effects.</t>
  </si>
  <si>
    <t>Campaign Company membership</t>
  </si>
  <si>
    <t>This identifies the Companies that are part of a campaign and those that are part of control cells for the campaign</t>
  </si>
  <si>
    <t>Needed for model tuning to align to control cell results analysis and inform model parameter choices</t>
  </si>
  <si>
    <t>Needed to showcase the Control Cell results within dashboarding.</t>
  </si>
  <si>
    <t>Each row represents a companies relationship with a campaign. Be that as a member or part of the control cell.</t>
  </si>
  <si>
    <t>Campaign Spend</t>
  </si>
  <si>
    <t>Gives the costs associated with each campaign</t>
  </si>
  <si>
    <t>No Used for Attribution</t>
  </si>
  <si>
    <t>Allows for calculating the investment part of ROI</t>
  </si>
  <si>
    <t>each row represents a specific spend request for a campaign.</t>
  </si>
  <si>
    <t>Object</t>
  </si>
  <si>
    <t>Purpose(modelling)</t>
  </si>
  <si>
    <t>Purpose(Analytics)</t>
  </si>
  <si>
    <t>Format</t>
  </si>
  <si>
    <t>Example Values</t>
  </si>
  <si>
    <t>Tokenised</t>
  </si>
  <si>
    <t>Tokenised Reason</t>
  </si>
  <si>
    <t>Required for POC?</t>
  </si>
  <si>
    <t>Requiered for MVP?</t>
  </si>
  <si>
    <t>Available in Core_Orders?</t>
  </si>
  <si>
    <t>Last Changed Date</t>
  </si>
  <si>
    <t>Change Description</t>
  </si>
  <si>
    <t>Column1</t>
  </si>
  <si>
    <t>link_id</t>
  </si>
  <si>
    <t>Unique Identifier for this particular link</t>
  </si>
  <si>
    <t>PK</t>
  </si>
  <si>
    <t>MVP</t>
  </si>
  <si>
    <t>Set as PK</t>
  </si>
  <si>
    <t>marketing_activity_id</t>
  </si>
  <si>
    <t>Identifies the specific marketing activity being linked</t>
  </si>
  <si>
    <t>FK -&gt; Marketing Activity.Marketing_Activity_ID</t>
  </si>
  <si>
    <t>Changed Name to marekting activity ID</t>
  </si>
  <si>
    <t>interaction_id</t>
  </si>
  <si>
    <t>Identifies the specific interaction that is being linked</t>
  </si>
  <si>
    <t>FK -&gt; Interaction.Interaction_ID</t>
  </si>
  <si>
    <t>outcome_type</t>
  </si>
  <si>
    <t>Identifies which outcome table is being linked</t>
  </si>
  <si>
    <t>used in metric calculations to filter out irrelevant rows.</t>
  </si>
  <si>
    <t>Picklist</t>
  </si>
  <si>
    <t>Order - Provide
Order - Resign
Order - Mixed
Order - Churn
Opportunity - Created
Opportunity - Closed Won</t>
  </si>
  <si>
    <t>outcome_id</t>
  </si>
  <si>
    <t>Identifies the specific outcome within that table that is linked.</t>
  </si>
  <si>
    <t>FK -&gt; Outcome_Type.Outcome_ID</t>
  </si>
  <si>
    <t>company_id</t>
  </si>
  <si>
    <t>Identifies the company that carried out the interaction and is related to the outcome.</t>
  </si>
  <si>
    <t>FK -&gt; Company.Company_ID</t>
  </si>
  <si>
    <t>person_id</t>
  </si>
  <si>
    <t>Identifies the Person related to the activity or interaction.</t>
  </si>
  <si>
    <t>FK -&gt; Person.Person_ID</t>
  </si>
  <si>
    <t>relation_type</t>
  </si>
  <si>
    <t>Classify how the Activity was related to the outcome. Its possible there were multiple methods to associate the activity with the outcome. This identifies the most confident of linkage types.</t>
  </si>
  <si>
    <t>Used as a paremeter to govern how much attribution is given to this link.</t>
  </si>
  <si>
    <r>
      <rPr>
        <b/>
        <sz val="11"/>
        <color theme="1"/>
        <rFont val="Aptos Narrow"/>
        <family val="2"/>
        <scheme val="minor"/>
      </rPr>
      <t>Direct</t>
    </r>
    <r>
      <rPr>
        <sz val="11"/>
        <color theme="1"/>
        <rFont val="Aptos Narrow"/>
        <family val="2"/>
        <scheme val="minor"/>
      </rPr>
      <t xml:space="preserve"> - Activity can be directly linked to the outcome I.E. they bought on the call.
</t>
    </r>
    <r>
      <rPr>
        <b/>
        <sz val="11"/>
        <color theme="1"/>
        <rFont val="Aptos Narrow"/>
        <family val="2"/>
        <scheme val="minor"/>
      </rPr>
      <t>Known Person</t>
    </r>
    <r>
      <rPr>
        <sz val="11"/>
        <color theme="1"/>
        <rFont val="Aptos Narrow"/>
        <family val="2"/>
        <scheme val="minor"/>
      </rPr>
      <t xml:space="preserve"> - The person that carried out the interaction/was targeted by activity is linked to the company that had the outcome.
</t>
    </r>
    <r>
      <rPr>
        <b/>
        <sz val="11"/>
        <color theme="1"/>
        <rFont val="Aptos Narrow"/>
        <family val="2"/>
        <scheme val="minor"/>
      </rPr>
      <t>Known company</t>
    </r>
    <r>
      <rPr>
        <sz val="11"/>
        <color theme="1"/>
        <rFont val="Aptos Narrow"/>
        <family val="2"/>
        <scheme val="minor"/>
      </rPr>
      <t xml:space="preserve"> - The company that was targeted by activity or carried out the interaction could be confidently identified and that company is linked to the outcome.
</t>
    </r>
    <r>
      <rPr>
        <b/>
        <sz val="11"/>
        <color theme="1"/>
        <rFont val="Aptos Narrow"/>
        <family val="2"/>
        <scheme val="minor"/>
      </rPr>
      <t xml:space="preserve">Inferred company </t>
    </r>
    <r>
      <rPr>
        <sz val="11"/>
        <color theme="1"/>
        <rFont val="Aptos Narrow"/>
        <family val="2"/>
        <scheme val="minor"/>
      </rPr>
      <t xml:space="preserve">- The activity was likely carried out be the company that is linked to the activity.
</t>
    </r>
    <r>
      <rPr>
        <b/>
        <sz val="11"/>
        <color theme="1"/>
        <rFont val="Aptos Narrow"/>
        <family val="2"/>
        <scheme val="minor"/>
      </rPr>
      <t>Inferred via Audience</t>
    </r>
    <r>
      <rPr>
        <sz val="11"/>
        <color theme="1"/>
        <rFont val="Aptos Narrow"/>
        <family val="2"/>
        <scheme val="minor"/>
      </rPr>
      <t xml:space="preserve"> - The individual / company was included in the audience for the marketing activity.</t>
    </r>
  </si>
  <si>
    <t>time_lag</t>
  </si>
  <si>
    <t>Time Between the Activity and the outcome * modelling may prefer to calculate from source fields.</t>
  </si>
  <si>
    <t>Time Difference</t>
  </si>
  <si>
    <t>product_yca_tier</t>
  </si>
  <si>
    <t>Identifiest the Tier of the product that is the closest common parent to the product of the order and the product of the Campaign or Asset.</t>
  </si>
  <si>
    <t>Not Relevant for analytics</t>
  </si>
  <si>
    <t>List of Values [Tiers}</t>
  </si>
  <si>
    <t>company_yca_type</t>
  </si>
  <si>
    <t>Gives the company_business_type of the Youngest Common Ancestor of the company the order was associated and the company assoicated to the activity.</t>
  </si>
  <si>
    <t>List of value [Company Types]</t>
  </si>
  <si>
    <t>model_output_id</t>
  </si>
  <si>
    <t>Unique Identifier for the model output given for this link and model.</t>
  </si>
  <si>
    <t>ID - PK</t>
  </si>
  <si>
    <t>Which is the link this result relates to</t>
  </si>
  <si>
    <t>ID - FK</t>
  </si>
  <si>
    <t>model_id</t>
  </si>
  <si>
    <t>Which Model has provided this result</t>
  </si>
  <si>
    <t>attribution_weight</t>
  </si>
  <si>
    <t>What is the proportion of the outcome that was caused by the activity as calculated by the model.</t>
  </si>
  <si>
    <t>Float</t>
  </si>
  <si>
    <t>Attrribution Model</t>
  </si>
  <si>
    <t>Unique Identifier for the model</t>
  </si>
  <si>
    <t>If Available</t>
  </si>
  <si>
    <t>model_name</t>
  </si>
  <si>
    <t>Name given the the model</t>
  </si>
  <si>
    <t>Used to select which attribution model is used for attribution calculations</t>
  </si>
  <si>
    <t>String</t>
  </si>
  <si>
    <t>V01.0_Rules_Based_with_Guardrails</t>
  </si>
  <si>
    <t>model_start_date</t>
  </si>
  <si>
    <t>When was the model usable from</t>
  </si>
  <si>
    <t>Date</t>
  </si>
  <si>
    <t>model_end_date</t>
  </si>
  <si>
    <t>When does the model cease to be useable.</t>
  </si>
  <si>
    <t>model_status</t>
  </si>
  <si>
    <t>is the model validated and usable, or retired</t>
  </si>
  <si>
    <t>Used to confirm if this model is appropriate to use in Dashboarding.</t>
  </si>
  <si>
    <t>model_type</t>
  </si>
  <si>
    <t>Classifies the models that are produced by the modelling team by which techniques they use</t>
  </si>
  <si>
    <t>Output from the modelling team</t>
  </si>
  <si>
    <t>Used to allow end users to select the appropriate model and understand at a high level how that model is approaching attribution.</t>
  </si>
  <si>
    <t>Rules based, learned, TBC from Modelling Team</t>
  </si>
  <si>
    <t>outcome_used</t>
  </si>
  <si>
    <t xml:space="preserve">Which outcome is this model Attributing for </t>
  </si>
  <si>
    <t>Raised Orders, Completed Orders, Customer Value Change, Churn, leads, Lead Conversion</t>
  </si>
  <si>
    <t>model_owner</t>
  </si>
  <si>
    <t>Current Owner of the model implimentation</t>
  </si>
  <si>
    <t>Petros</t>
  </si>
  <si>
    <t>audience_id</t>
  </si>
  <si>
    <t>name</t>
  </si>
  <si>
    <t>Friendly Name of the audience</t>
  </si>
  <si>
    <t>type</t>
  </si>
  <si>
    <t>How is this audience identified</t>
  </si>
  <si>
    <t>audience_criteria_description</t>
  </si>
  <si>
    <t>An description of the requirements for the audience to fulfil</t>
  </si>
  <si>
    <t>audience_criteria_technical</t>
  </si>
  <si>
    <t>The technical implimentation of these audience requirements.</t>
  </si>
  <si>
    <t>propensity_model_used</t>
  </si>
  <si>
    <t>Identifies the propensity model that is used as part of the audience selection criteria. This would be a FK to another table.</t>
  </si>
  <si>
    <t>N/A</t>
  </si>
  <si>
    <t>Dimensions for filter and comparison, Gives the end user the ability to understand the effectiveness of the propensity models.</t>
  </si>
  <si>
    <t>size_individuals</t>
  </si>
  <si>
    <t>The Estimated or actual count of individuals that form this audience.</t>
  </si>
  <si>
    <t>size_companies</t>
  </si>
  <si>
    <t>The Estimated or actual count of Companies that form this audience. *Company Granularity to be determined</t>
  </si>
  <si>
    <t>campaign_id</t>
  </si>
  <si>
    <t>Primary Identified for a campaign, This could either be the Monday code or a GCP generated ID, using the Monday code as a proxy identifier.</t>
  </si>
  <si>
    <t>campaign_name</t>
  </si>
  <si>
    <t>The Unique business understandable short name of the campaign.</t>
  </si>
  <si>
    <t>Dimension for Filter / Comparison</t>
  </si>
  <si>
    <t>dmo_monday_id</t>
  </si>
  <si>
    <t>This is Unique identifier in the DMO board for tracking campaign creation. Also used within marketo and other systems as the campaign Identifier.</t>
  </si>
  <si>
    <t>Added</t>
  </si>
  <si>
    <t>activity_status</t>
  </si>
  <si>
    <t>Current build status of the activity (e.g., Not started, In progress)</t>
  </si>
  <si>
    <t>Hidden filter to exclude irrelevant campaings from views.</t>
  </si>
  <si>
    <t xml:space="preserve">Not Started; In progress; Stuck; </t>
  </si>
  <si>
    <t>marketing_lead_name</t>
  </si>
  <si>
    <t>Primary person responsible for the activity</t>
  </si>
  <si>
    <t>contributer_name</t>
  </si>
  <si>
    <t>Additional team members contributing to the activity.</t>
  </si>
  <si>
    <t>Dimension for Filter</t>
  </si>
  <si>
    <t>campaign_planned_start_date</t>
  </si>
  <si>
    <t>Planned Start Date of the activity. (Needs confirmation if this is correct)</t>
  </si>
  <si>
    <t>campaign_live_date</t>
  </si>
  <si>
    <t>Date the campaign First went live and it was possible for a person to interact with the campaigns content.</t>
  </si>
  <si>
    <t>engaged_team_name</t>
  </si>
  <si>
    <t>Team or department executing the activity.</t>
  </si>
  <si>
    <t>Updated Field name</t>
  </si>
  <si>
    <t>campaign_summary</t>
  </si>
  <si>
    <t>Brief description or summary of the activity/campaign</t>
  </si>
  <si>
    <t>Tooltip or description on campaign view</t>
  </si>
  <si>
    <t>engagement_stage_classification</t>
  </si>
  <si>
    <t>Engagement classification (e.g., Engage, Explore, Evaluate).</t>
  </si>
  <si>
    <t>activity_type</t>
  </si>
  <si>
    <t>Type of marketing activity (e.g., Event, Campaign).</t>
  </si>
  <si>
    <t>impacted_segment_name</t>
  </si>
  <si>
    <t>Target segment or business function.</t>
  </si>
  <si>
    <t xml:space="preserve">Dimension for Filter / Comparison, Might be superseeded by the business unit field on the company / link object. </t>
  </si>
  <si>
    <t>Multi Value Picklist</t>
  </si>
  <si>
    <t>SMB, CEC, CPS, Global, Wholesales</t>
  </si>
  <si>
    <t>campaign_theme_name</t>
  </si>
  <si>
    <t>Marketing theme or focus area.</t>
  </si>
  <si>
    <t>product_area</t>
  </si>
  <si>
    <t>Identifies the product or product area the campaign is targetting</t>
  </si>
  <si>
    <t>impacted_region</t>
  </si>
  <si>
    <t>Geographical region targeted by the activity</t>
  </si>
  <si>
    <t>Dimension for Filter / Comparison, Might be superseeded by the location on the company or person object although this data may not be as well populated.</t>
  </si>
  <si>
    <t>strategic_pillar</t>
  </si>
  <si>
    <t>Strategic objective supported by the activity</t>
  </si>
  <si>
    <t>campaign_purpose</t>
  </si>
  <si>
    <t>What part of the customer lifecycle is being targeted</t>
  </si>
  <si>
    <t>business_vertical</t>
  </si>
  <si>
    <t>Industry vertical targeted</t>
  </si>
  <si>
    <t>Dimension for Filter / Comparison, May be superseeded by the industry or vertical information on the company object depending on the dashboard context.</t>
  </si>
  <si>
    <t>partner_name</t>
  </si>
  <si>
    <t xml:space="preserve">Company that is partnering, supporting, or running the campaign. </t>
  </si>
  <si>
    <t>agency_support_ind</t>
  </si>
  <si>
    <t>Indicates if external team or agency support is required</t>
  </si>
  <si>
    <t>agency_name</t>
  </si>
  <si>
    <t>Name of the supporting team or agency</t>
  </si>
  <si>
    <t>brand_name</t>
  </si>
  <si>
    <t>Brand associated with the activity</t>
  </si>
  <si>
    <t>Allow limiting or wieghting of attribution based on Brand matching between activity and outcome.</t>
  </si>
  <si>
    <t>BT; EE; BT and EE;</t>
  </si>
  <si>
    <t>estimated_outcome_gross_margin</t>
  </si>
  <si>
    <t>Estimated gross margin from marketing-influenced wins</t>
  </si>
  <si>
    <t>Could be utilised to showcase the campaign target against a measure of actually. showing which campaigns are achieving thier targets.</t>
  </si>
  <si>
    <t>estimated_outcome_sov</t>
  </si>
  <si>
    <t>Share of voice from marketing-influenced wins</t>
  </si>
  <si>
    <t>estimated_outcome_roix1</t>
  </si>
  <si>
    <t>Return on investment ratio</t>
  </si>
  <si>
    <t>overall_timeline_start</t>
  </si>
  <si>
    <t>Needs confirmation on what this will mean</t>
  </si>
  <si>
    <t>overall_timeline_end</t>
  </si>
  <si>
    <t>outcome_linear_roi_flag</t>
  </si>
  <si>
    <t>Indicates if ROI is linear (Yes/No)</t>
  </si>
  <si>
    <t>monday_record_creation_dtm</t>
  </si>
  <si>
    <t>Date the Campaign was created (in Monday.com)</t>
  </si>
  <si>
    <t>product_id</t>
  </si>
  <si>
    <t>Identifies the Product the Campaign Is Targeting</t>
  </si>
  <si>
    <t>Feeds the marketing product to outcome product comparison which ultimately informs some of the wieght of the link attribution</t>
  </si>
  <si>
    <t>Dimension for Filter / Comparison, We may also want to group / filter on products higher up the hierachy.</t>
  </si>
  <si>
    <t>FK -&gt; Product.Product_ID</t>
  </si>
  <si>
    <t>source_table</t>
  </si>
  <si>
    <t>Identifies the GCP table that this Row is sourced from</t>
  </si>
  <si>
    <t>GCP Table Reference</t>
  </si>
  <si>
    <t>source_id_field</t>
  </si>
  <si>
    <t>Identifies the PK field of that table.</t>
  </si>
  <si>
    <t>source_id</t>
  </si>
  <si>
    <t>The Source Table PK Value.</t>
  </si>
  <si>
    <t>FK -&gt; Source_Table. Source_ID_Field</t>
  </si>
  <si>
    <t>channel_key</t>
  </si>
  <si>
    <t>GCP Generated</t>
  </si>
  <si>
    <t>PK to be referenced by other objects.</t>
  </si>
  <si>
    <t>Changed name from channel_id to channel_key by Mahesh</t>
  </si>
  <si>
    <t>channel_name</t>
  </si>
  <si>
    <t>Name Representing the channel</t>
  </si>
  <si>
    <t>Used for grouping and comparison within dashboards.</t>
  </si>
  <si>
    <t>Updated Name to Channel Name to avoid field clashing</t>
  </si>
  <si>
    <t>channel_group</t>
  </si>
  <si>
    <t>The Broad category of communication styles this channel is part of.</t>
  </si>
  <si>
    <t>Enumerated String</t>
  </si>
  <si>
    <r>
      <rPr>
        <b/>
        <sz val="11"/>
        <color theme="1"/>
        <rFont val="Aptos Narrow"/>
        <family val="2"/>
        <scheme val="minor"/>
      </rPr>
      <t>Above the Line</t>
    </r>
    <r>
      <rPr>
        <sz val="11"/>
        <color theme="1"/>
        <rFont val="Aptos Narrow"/>
        <family val="2"/>
        <scheme val="minor"/>
      </rPr>
      <t xml:space="preserve"> - Broad Mass market campaigns to a loosely or undefined audience.
</t>
    </r>
    <r>
      <rPr>
        <b/>
        <sz val="11"/>
        <color theme="1"/>
        <rFont val="Aptos Narrow"/>
        <family val="2"/>
        <scheme val="minor"/>
      </rPr>
      <t xml:space="preserve">Below the Line </t>
    </r>
    <r>
      <rPr>
        <sz val="11"/>
        <color theme="1"/>
        <rFont val="Aptos Narrow"/>
        <family val="2"/>
        <scheme val="minor"/>
      </rPr>
      <t xml:space="preserve">- Targeted Communications to a known audience.
</t>
    </r>
    <r>
      <rPr>
        <b/>
        <sz val="11"/>
        <color theme="1"/>
        <rFont val="Aptos Narrow"/>
        <family val="2"/>
        <scheme val="minor"/>
      </rPr>
      <t>Sales</t>
    </r>
    <r>
      <rPr>
        <sz val="11"/>
        <color theme="1"/>
        <rFont val="Aptos Narrow"/>
        <family val="2"/>
        <scheme val="minor"/>
      </rPr>
      <t xml:space="preserve"> - One to One communications to an individual to support an existing or potential sales opportunity.</t>
    </r>
  </si>
  <si>
    <t>Changed name from group to channel_group by Mahesh</t>
  </si>
  <si>
    <t>channel_type</t>
  </si>
  <si>
    <t>Another way we could group channels is by the different high level delivery mechanisms involved.</t>
  </si>
  <si>
    <r>
      <rPr>
        <b/>
        <sz val="11"/>
        <color theme="1"/>
        <rFont val="Aptos Narrow"/>
        <family val="2"/>
        <scheme val="minor"/>
      </rPr>
      <t xml:space="preserve">Physical - </t>
    </r>
    <r>
      <rPr>
        <sz val="11"/>
        <color theme="1"/>
        <rFont val="Aptos Narrow"/>
        <family val="2"/>
        <scheme val="minor"/>
      </rPr>
      <t xml:space="preserve">Channel is delivered via a physical object, I.E. Print, DM ect.
</t>
    </r>
    <r>
      <rPr>
        <b/>
        <sz val="11"/>
        <color theme="1"/>
        <rFont val="Aptos Narrow"/>
        <family val="2"/>
        <scheme val="minor"/>
      </rPr>
      <t>Digital</t>
    </r>
    <r>
      <rPr>
        <sz val="11"/>
        <color theme="1"/>
        <rFont val="Aptos Narrow"/>
        <family val="2"/>
        <scheme val="minor"/>
      </rPr>
      <t xml:space="preserve"> - Channel is delivered digitally
</t>
    </r>
    <r>
      <rPr>
        <b/>
        <sz val="11"/>
        <color theme="1"/>
        <rFont val="Aptos Narrow"/>
        <family val="2"/>
        <scheme val="minor"/>
      </rPr>
      <t>Conversation</t>
    </r>
    <r>
      <rPr>
        <sz val="11"/>
        <color theme="1"/>
        <rFont val="Aptos Narrow"/>
        <family val="2"/>
        <scheme val="minor"/>
      </rPr>
      <t xml:space="preserve"> - Channel is delivered by a BT representative as part of a conversation.</t>
    </r>
  </si>
  <si>
    <t>Changed name from type to channel_type by Mahesh</t>
  </si>
  <si>
    <t>communication_mode</t>
  </si>
  <si>
    <t>Identifies if this is a push or pull communication.</t>
  </si>
  <si>
    <t>Helps understanding which attributes we would expect in the related marketing activities.</t>
  </si>
  <si>
    <t>Push
Pull</t>
  </si>
  <si>
    <t>company_trading_unit</t>
  </si>
  <si>
    <t>Describes which business area in BT this interaction to outcome relates to. Ultimately the market channel of the account.</t>
  </si>
  <si>
    <t>Different market channel may have different parameter rulesets.</t>
  </si>
  <si>
    <t>A key filter in most dashboards as almost all audiences will care about only companis from a single group in this list.</t>
  </si>
  <si>
    <t>SMB, CPS, Wholesale, Global</t>
  </si>
  <si>
    <t>company_source_table_name</t>
  </si>
  <si>
    <t>Changed name from source_table  to company_source_table_name by Mahesh</t>
  </si>
  <si>
    <t>company_source_id_field_name</t>
  </si>
  <si>
    <t>Changed name from source_id_field to company_source_id_field_name by Mahesh</t>
  </si>
  <si>
    <t>company_source_field_value</t>
  </si>
  <si>
    <t>Changed name from source_id to company_source_field_value by Mahesh</t>
  </si>
  <si>
    <t>parent_company_id</t>
  </si>
  <si>
    <t>company_business_type</t>
  </si>
  <si>
    <t>Describes the granularity/ Type of account at a size level. Also how BT thinks about this account. Used to understand the hierarchy.</t>
  </si>
  <si>
    <t>Used as part of the linking strategy to understand how closely linked a marketing activity is to an outcome. We may look at the largest grain of company needed for form the link.</t>
  </si>
  <si>
    <t>CUG, Billing Account, SAC, World Key, LE</t>
  </si>
  <si>
    <t>date_key</t>
  </si>
  <si>
    <t>This is the Date Primary Key</t>
  </si>
  <si>
    <t>date</t>
  </si>
  <si>
    <t>Actual Date being represented</t>
  </si>
  <si>
    <t>financial_year</t>
  </si>
  <si>
    <t>Which financial Year this date falls within</t>
  </si>
  <si>
    <t>financial_quarter</t>
  </si>
  <si>
    <t>Which Financial Quarter this date falls into.</t>
  </si>
  <si>
    <t>financial_month_number</t>
  </si>
  <si>
    <t>Month Number within BT Financial Year.</t>
  </si>
  <si>
    <t>is_weekend</t>
  </si>
  <si>
    <t>is_holiday</t>
  </si>
  <si>
    <t>facilitation_tool_name</t>
  </si>
  <si>
    <t>Name of the tool</t>
  </si>
  <si>
    <t>owner</t>
  </si>
  <si>
    <t>The BT team member that is responsible for this tool</t>
  </si>
  <si>
    <t>Optional Name of the activity, might not be needed may come from asset + Campaign.</t>
  </si>
  <si>
    <t>Unique Identifier for the Interaction</t>
  </si>
  <si>
    <t>interaction_type</t>
  </si>
  <si>
    <t>What was the type of intereaction. E.G. Open, Click, Visit, Call,…</t>
  </si>
  <si>
    <t>interaction_date</t>
  </si>
  <si>
    <t>When did this interaction happen.</t>
  </si>
  <si>
    <t>Key field for marketing focussed dashboard date filters and and over time trends.</t>
  </si>
  <si>
    <t>interaction_dur</t>
  </si>
  <si>
    <t>How long did the interaction last.</t>
  </si>
  <si>
    <t>INTERVAL</t>
  </si>
  <si>
    <t>1-2 3 4:5:6.789999
https://cloud.google.com/bigquery/docs/reference/standard-sql/interval_functions</t>
  </si>
  <si>
    <t>follow_from_interaction_id</t>
  </si>
  <si>
    <t>If interaction came from a separate interaction. I.E. click on link -&gt; View Webpage -&gt; Submit Form</t>
  </si>
  <si>
    <t>Allows for direct attribution chains of interactions through to orders. So we can see all the interactions in a journey that lead to an outcome.</t>
  </si>
  <si>
    <t>FK -&gt; interactions.interaction_id</t>
  </si>
  <si>
    <t>What was the Activity this interaction is related to.</t>
  </si>
  <si>
    <t>FK -&gt; Marketing Activity.marketing_activity_id</t>
  </si>
  <si>
    <t>interacted_person_id</t>
  </si>
  <si>
    <t>Identifies the person that carried out the interaction.</t>
  </si>
  <si>
    <t>interacted_company_id</t>
  </si>
  <si>
    <t>Identifies the company that carried out the interaction.</t>
  </si>
  <si>
    <t>identification_method_type</t>
  </si>
  <si>
    <t>What method was used to identify the individual or company for this interaction.</t>
  </si>
  <si>
    <r>
      <rPr>
        <b/>
        <sz val="11"/>
        <color rgb="FF000000"/>
        <rFont val="Aptos Narrow"/>
        <family val="2"/>
        <scheme val="minor"/>
      </rPr>
      <t>Outbound Known Person</t>
    </r>
    <r>
      <rPr>
        <sz val="11"/>
        <color rgb="FF000000"/>
        <rFont val="Aptos Narrow"/>
        <family val="2"/>
        <scheme val="minor"/>
      </rPr>
      <t xml:space="preserve"> - We sent a communication to a specific person and so subsiquent actions can be linked to the same person.
</t>
    </r>
    <r>
      <rPr>
        <b/>
        <sz val="11"/>
        <color rgb="FF000000"/>
        <rFont val="Aptos Narrow"/>
        <family val="2"/>
        <scheme val="minor"/>
      </rPr>
      <t>Outbound Known Company</t>
    </r>
    <r>
      <rPr>
        <sz val="11"/>
        <color rgb="FF000000"/>
        <rFont val="Aptos Narrow"/>
        <family val="2"/>
        <scheme val="minor"/>
      </rPr>
      <t xml:space="preserve"> - We sent a communication to a specific company and so Subsciquent actions can be linked to that company. We do not know which person in the company recieved the communication.
</t>
    </r>
    <r>
      <rPr>
        <b/>
        <sz val="11"/>
        <color rgb="FF000000"/>
        <rFont val="Aptos Narrow"/>
        <family val="2"/>
        <scheme val="minor"/>
      </rPr>
      <t>Self Identification</t>
    </r>
    <r>
      <rPr>
        <sz val="11"/>
        <color rgb="FF000000"/>
        <rFont val="Aptos Narrow"/>
        <family val="2"/>
        <scheme val="minor"/>
      </rPr>
      <t xml:space="preserve"> - The person Identified themselves through login or form submission.
</t>
    </r>
    <r>
      <rPr>
        <b/>
        <sz val="11"/>
        <color rgb="FF000000"/>
        <rFont val="Aptos Narrow"/>
        <family val="2"/>
        <scheme val="minor"/>
      </rPr>
      <t>Visitor Matching Person</t>
    </r>
    <r>
      <rPr>
        <sz val="11"/>
        <color rgb="FF000000"/>
        <rFont val="Aptos Narrow"/>
        <family val="2"/>
        <scheme val="minor"/>
      </rPr>
      <t xml:space="preserve"> - Other Interactions associated with the same visitor have been identified through Self Identification or Known communications. So we can infer this is the same person.
</t>
    </r>
    <r>
      <rPr>
        <b/>
        <sz val="11"/>
        <color rgb="FF000000"/>
        <rFont val="Aptos Narrow"/>
        <family val="2"/>
        <scheme val="minor"/>
      </rPr>
      <t xml:space="preserve">Visitor Matching Company </t>
    </r>
    <r>
      <rPr>
        <sz val="11"/>
        <color rgb="FF000000"/>
        <rFont val="Aptos Narrow"/>
        <family val="2"/>
        <scheme val="minor"/>
      </rPr>
      <t xml:space="preserve">- Other Interactions associated with the same visitor have been identified through Self Identification or Known communications. So we can infer this is the same Company.
</t>
    </r>
    <r>
      <rPr>
        <b/>
        <sz val="11"/>
        <color rgb="FF000000"/>
        <rFont val="Aptos Narrow"/>
        <family val="2"/>
        <scheme val="minor"/>
      </rPr>
      <t>IP Company Match</t>
    </r>
    <r>
      <rPr>
        <sz val="11"/>
        <color rgb="FF000000"/>
        <rFont val="Aptos Narrow"/>
        <family val="2"/>
        <scheme val="minor"/>
      </rPr>
      <t xml:space="preserve"> - IP Associated with this interaction has been consistantly matched with the same company, So we have infered the company through this IP.</t>
    </r>
  </si>
  <si>
    <t>13/10/2025</t>
  </si>
  <si>
    <t>Updated Example Values and Added Descriptions.</t>
  </si>
  <si>
    <t>data_source_name</t>
  </si>
  <si>
    <t>Which system tracked this interaction</t>
  </si>
  <si>
    <t>facilitation_tool_id</t>
  </si>
  <si>
    <t>Sythentic ID given to head tool</t>
  </si>
  <si>
    <t>Unique Identifier for the activity</t>
  </si>
  <si>
    <t>reach_companies</t>
  </si>
  <si>
    <t>The estimated or actual number of companies that would have had the opportunity to interact with this activity. * Company Granularity to be determined</t>
  </si>
  <si>
    <t>Combine with the audience size to estimate the likelyhood that anyone in the audience was impacted by this activity.</t>
  </si>
  <si>
    <t>potential Metric for future dashboards that are not currently in scope</t>
  </si>
  <si>
    <t>Integer</t>
  </si>
  <si>
    <t>reach_individuals</t>
  </si>
  <si>
    <t>The estimated or actual number of individuals that would have had an opportunity to interact with this activity</t>
  </si>
  <si>
    <t>targeted_person_id</t>
  </si>
  <si>
    <t>Identifies the person the marketing activity targeted.</t>
  </si>
  <si>
    <t>marketing_asset_id</t>
  </si>
  <si>
    <t>Identifies the marketing asset that this marketing activity shares</t>
  </si>
  <si>
    <t>FK -&gt; Marketing_Asset.Marketing_Asset_ID</t>
  </si>
  <si>
    <t>system_id</t>
  </si>
  <si>
    <t>Which System facilitated this Activity</t>
  </si>
  <si>
    <t>FK -&gt; Facilitation_tool.tool_id</t>
  </si>
  <si>
    <t>targeted_company_id</t>
  </si>
  <si>
    <t>Identified the company that was targeted with the communication.</t>
  </si>
  <si>
    <t>channel_id</t>
  </si>
  <si>
    <t>Which channel is the marketing activity part of. What is the method of delivery.</t>
  </si>
  <si>
    <t>FK -&gt; Channel.channel_ID</t>
  </si>
  <si>
    <t>Which campaign was this activity associated with.</t>
  </si>
  <si>
    <t>FK -&gt; Campaigns.Campaign_ID</t>
  </si>
  <si>
    <t>The Expected audience for this Activity</t>
  </si>
  <si>
    <t>Used to limit which people / companies are likely to have been impacted by this activity</t>
  </si>
  <si>
    <t>FK -&gt; Audience.audience_ID</t>
  </si>
  <si>
    <t>FK</t>
  </si>
  <si>
    <t>status</t>
  </si>
  <si>
    <t>What is the status of the push activity, I.E. was it Delivered, Part of control cell,…</t>
  </si>
  <si>
    <t>Enum</t>
  </si>
  <si>
    <t>end_date</t>
  </si>
  <si>
    <t>When the asset stopped being shared through this mechanism and interactions are either impossible or unlikely.</t>
  </si>
  <si>
    <t>MVP - For Certain Activity Types only</t>
  </si>
  <si>
    <t>start_date</t>
  </si>
  <si>
    <t>When the asset started to be shared through this mechanism and interactions are possible.</t>
  </si>
  <si>
    <t>yearly_cost</t>
  </si>
  <si>
    <t>* We may want a more compex tracking method later. This should be the cost that is not campaign specific. I.E. General License and platform maintainance costs.</t>
  </si>
  <si>
    <t>Currency Pounds</t>
  </si>
  <si>
    <t>Primary key for each unique Marketing Asset</t>
  </si>
  <si>
    <t>uses_dynamic_content</t>
  </si>
  <si>
    <t>identifies if the content contains dynamic personalisation specific to the audience.</t>
  </si>
  <si>
    <t>pega_flag</t>
  </si>
  <si>
    <t>Does the asset use pega recommendations as part of the content.</t>
  </si>
  <si>
    <t>Free Text Friendly short description of the asset</t>
  </si>
  <si>
    <t>For identifying specific assets within views.</t>
  </si>
  <si>
    <t>varient</t>
  </si>
  <si>
    <t>* Should this differentiate the asset or be on the activity, Or actual a sub Object.</t>
  </si>
  <si>
    <t>Links to the product or product family that this asset is promoting.</t>
  </si>
  <si>
    <t>Used to match the target product for a marketing asset with outcomes for the same product family as a potential differentiator for attribution.</t>
  </si>
  <si>
    <t>Allows grouping and comparison of marketing assets by the product they are promoting.</t>
  </si>
  <si>
    <t>opportunity_id</t>
  </si>
  <si>
    <t>Sythentic ID created for this record.</t>
  </si>
  <si>
    <t>Name of the opportunity</t>
  </si>
  <si>
    <t>Used to allow identification of the specific opportunity in detailed investigation.</t>
  </si>
  <si>
    <t>created_date</t>
  </si>
  <si>
    <t>date the opportunity was created</t>
  </si>
  <si>
    <t>close_date</t>
  </si>
  <si>
    <t>Date the opportunity was closed.</t>
  </si>
  <si>
    <t>closed</t>
  </si>
  <si>
    <t>Has the opportunity been completed (true) or is still open to change (false)</t>
  </si>
  <si>
    <t>Boolean</t>
  </si>
  <si>
    <t>won</t>
  </si>
  <si>
    <t>If closed was the opportunity won e.g. Successsfully sold. Otherwise false.</t>
  </si>
  <si>
    <t>This is needed to filter only won opportunity available for attribution.</t>
  </si>
  <si>
    <t>How far through the sales process is the opportunity currently.</t>
  </si>
  <si>
    <t>probability</t>
  </si>
  <si>
    <t>Sales estimated likelyhood that the opportunity will close successfully, This is often linked to the status.</t>
  </si>
  <si>
    <t>amount</t>
  </si>
  <si>
    <t>Estimated or final amount the opportunity is sold for. It might be there are multiple amount fields available for difference financial lenses. We might need all of these available.</t>
  </si>
  <si>
    <t>This is amount fields that will be used for attribution to attribute revenue back to campaigns.</t>
  </si>
  <si>
    <t>order_id</t>
  </si>
  <si>
    <t>If opportunity closes successfully what was the order that fulfilled the opportunity. May be multiple orders in which case a more complex model is required. or JSON?</t>
  </si>
  <si>
    <t>FK -&gt; order.order_id</t>
  </si>
  <si>
    <t xml:space="preserve">Identifies the company that this opportunity is associated with. This </t>
  </si>
  <si>
    <t>Needed to associated contacts and activities to the outcome</t>
  </si>
  <si>
    <t>FK -&gt; company.company_id</t>
  </si>
  <si>
    <t>date_reached_[status]</t>
  </si>
  <si>
    <t>Set of fields that identify the date the opportunity reached a certain status (or probability)</t>
  </si>
  <si>
    <t>May be the key date for linking to a certain type of outcome.</t>
  </si>
  <si>
    <t>link to the product (or Products) in our product table that are planned or will be bought</t>
  </si>
  <si>
    <t>This is needed for the product alignement part of the attribution model</t>
  </si>
  <si>
    <t>Unique Identifier for this order.</t>
  </si>
  <si>
    <t>Unique Friendly name of the order, May be a concatenation of product, Time and company.</t>
  </si>
  <si>
    <t>Which particular product was being sold in the order. *It might be actual we relate the order to a more complex product table depending on how the source data is structured</t>
  </si>
  <si>
    <t>FK -&gt; Product.product_id</t>
  </si>
  <si>
    <t>action_type</t>
  </si>
  <si>
    <t xml:space="preserve">In what part of the customer lifecycle is this order, what is its context based on current  company status. </t>
  </si>
  <si>
    <t>Used in metric calculation, this is duplicated to the linking table, can use field from either location depending on context.</t>
  </si>
  <si>
    <t>String Enum</t>
  </si>
  <si>
    <t>Provide, Resign and Churn</t>
  </si>
  <si>
    <t>sales_channel</t>
  </si>
  <si>
    <t xml:space="preserve">How did the customer make the order
</t>
  </si>
  <si>
    <t>Indirect Partner Sales;
NI;
Bus Sales New;
CPS;
Other;
Bus Sales;
Global Services;
BTLB - London;
Digital;
EE Online;
SME DESK Online;
SME Field;
BTBus Online;
Retail;
EE;
Desk Other;
BTLB - Other;
Outbound;
BTLB - SALESLAB;
EE Inbound;
Glasgow SME Outbound;
Retention;
SME DESK;
BTLB - South;
Voice Inbound;
BTLB - North;
BTLB - Central;
Outbound Voice;
Glasgow SoHo Outbound;
Enterprise Service;
BTLB - West;
Enterprise Sales Enablement;
Other_SC;
BTLB;
EE Major Public Sector;
SME Mid-Market;</t>
  </si>
  <si>
    <t>Y (as Sales Channel)</t>
  </si>
  <si>
    <t>date_raised</t>
  </si>
  <si>
    <t>Date the order was agreed by the client, They have commited to buy at agreed price</t>
  </si>
  <si>
    <t>Dimension for Filtering</t>
  </si>
  <si>
    <t>NI</t>
  </si>
  <si>
    <t>outcome_date</t>
  </si>
  <si>
    <t>The effective date of when the event happened, For new orders its creation, for renewal its the renewal date, for Churn its the expiration date of the contract.</t>
  </si>
  <si>
    <t>This is the key date for attribution as its the date that ties activities to outcomes, Only activities happening before this date can be attributed in the outcome.</t>
  </si>
  <si>
    <t>This is the key field for outcome dashboard filtering and trend viewing.</t>
  </si>
  <si>
    <t>Bus Sales New</t>
  </si>
  <si>
    <t>transaction_date</t>
  </si>
  <si>
    <t>When was the order actually transacted</t>
  </si>
  <si>
    <t>CPS</t>
  </si>
  <si>
    <t>sales_order_value</t>
  </si>
  <si>
    <t>For Metrics Calculation</t>
  </si>
  <si>
    <t>Other</t>
  </si>
  <si>
    <t>sales_order_value_gross_margin</t>
  </si>
  <si>
    <t>Bus Sales</t>
  </si>
  <si>
    <t>initial_contract_value</t>
  </si>
  <si>
    <t>Global Services</t>
  </si>
  <si>
    <t>initial_contract_value_gross_margin</t>
  </si>
  <si>
    <t>BTLB - London</t>
  </si>
  <si>
    <t>average_revenue_per_unit</t>
  </si>
  <si>
    <t>Digital</t>
  </si>
  <si>
    <t>Company the order is for * might their be cases where the paying company is meaningfully distinct from the using company</t>
  </si>
  <si>
    <t>Retail</t>
  </si>
  <si>
    <t>Y (as BAC and LE)</t>
  </si>
  <si>
    <t>The Key Contact Associated with Making the order, It might be we need a full relationship table that dictates the roles for the order, Dependant on available data.</t>
  </si>
  <si>
    <t>EE</t>
  </si>
  <si>
    <t>Changed name from Contact_id to be consistant with other fields</t>
  </si>
  <si>
    <t>date_completed</t>
  </si>
  <si>
    <t>When is the order delivery completed and revenue is confirmed.</t>
  </si>
  <si>
    <t>Desk Other</t>
  </si>
  <si>
    <t>causal_interaction_id</t>
  </si>
  <si>
    <t>The Iteraction that lead to the sale. E.G. the call. Foreign Key to the Interaction table.</t>
  </si>
  <si>
    <t>BTLB - Other</t>
  </si>
  <si>
    <t>related_opportunity_id</t>
  </si>
  <si>
    <t>Which Opportunity preceeded and drove this order</t>
  </si>
  <si>
    <t>FK -&gt; Opportunity.Opportunity_ID</t>
  </si>
  <si>
    <t>Outbound</t>
  </si>
  <si>
    <t>contract_term</t>
  </si>
  <si>
    <t>Agreed length of the contract.</t>
  </si>
  <si>
    <t>BTLB - SALESLAB</t>
  </si>
  <si>
    <t>previous_order_id</t>
  </si>
  <si>
    <t>Link to another order where this order was a renewal of a previous order.</t>
  </si>
  <si>
    <t>FK -&gt; Orders.Order_ID</t>
  </si>
  <si>
    <t>EE Inbound</t>
  </si>
  <si>
    <t>ceased_date</t>
  </si>
  <si>
    <t>Date when the subscription expires or date when subscription is cancled. For non subscription products this would be blank</t>
  </si>
  <si>
    <t>Glasgow SME Outbound</t>
  </si>
  <si>
    <t>product_price_type</t>
  </si>
  <si>
    <t>Identifies if it’s a one off or recurring revenue sales. I.E&gt; Subscription.</t>
  </si>
  <si>
    <t>product_quantity</t>
  </si>
  <si>
    <t>SME DESK</t>
  </si>
  <si>
    <t>cessetion_reason_group</t>
  </si>
  <si>
    <t>Cessation reason of the Order Item. Stopped after use .</t>
  </si>
  <si>
    <t>Dimension for Filter / Comparison, In the context of Churn</t>
  </si>
  <si>
    <t>BTLB - South</t>
  </si>
  <si>
    <t>cessetion_reason_sub_group</t>
  </si>
  <si>
    <t>Added sub group field as there are 2 fields for Ceassation reason in source.</t>
  </si>
  <si>
    <t>Voice Inbound</t>
  </si>
  <si>
    <t>cancel_reason</t>
  </si>
  <si>
    <t>Reason for canceling, Stopped without using or applying, I bought then decided not to. I requested an adjustment then decided I didn't want the change.</t>
  </si>
  <si>
    <t>BTLB - North</t>
  </si>
  <si>
    <t>BTLB - Central</t>
  </si>
  <si>
    <t>Outbound Voice</t>
  </si>
  <si>
    <t>Glasgow SoHo Outbound</t>
  </si>
  <si>
    <t>Sythentic ID given to this individiual</t>
  </si>
  <si>
    <t>Enterprise Service</t>
  </si>
  <si>
    <t>person_source_table_name</t>
  </si>
  <si>
    <t>Other_SC</t>
  </si>
  <si>
    <t>Changed name from source_table_name	to person_source_table_name by Mahesh</t>
  </si>
  <si>
    <t>person_source_id_field_name</t>
  </si>
  <si>
    <t>BTLB</t>
  </si>
  <si>
    <t>Changed name from source_id_field to person_source_id_field_name by Mahesh</t>
  </si>
  <si>
    <t>person_source_field_value</t>
  </si>
  <si>
    <t>EE Major Public Sector</t>
  </si>
  <si>
    <t>Changed name from source_id	to person_source_field_value by Mahesh</t>
  </si>
  <si>
    <t>Company id holds the value of company identifier for different company types; 
Customer Group Id for SMB &amp; CPS customers.
  Phco for prospects.This will be an external company Id for Marketo</t>
  </si>
  <si>
    <t>Added, To align with agreement to remove person Company Role Table.</t>
  </si>
  <si>
    <t>lead_role_name</t>
  </si>
  <si>
    <t>This will store the role of the Lead contacts</t>
  </si>
  <si>
    <t>lead_source_name</t>
  </si>
  <si>
    <t>This will store the source system name from where lead are created</t>
  </si>
  <si>
    <t>job_title_value</t>
  </si>
  <si>
    <t>This field will store the Job title</t>
  </si>
  <si>
    <t>Dimension for Filter / Comparison, Depending on granularity we may need to have grouped this field for it to be useful.</t>
  </si>
  <si>
    <t>external_sales_person_id</t>
  </si>
  <si>
    <t>This will store the salesforce owner id linked to the contact.</t>
  </si>
  <si>
    <t>active_ind</t>
  </si>
  <si>
    <t>This will store the Contact Active Indicator stored as True/False, This will indicate Contact record is active or deleted contact</t>
  </si>
  <si>
    <t>contact_status</t>
  </si>
  <si>
    <t>This will store the Status of contact as Active/Inactive</t>
  </si>
  <si>
    <t>tm_consent_ind</t>
  </si>
  <si>
    <t>This field will store the Tele Marketing consent from the contact stored as TRUE/FALSE</t>
  </si>
  <si>
    <t>tm_standardised_consent_value</t>
  </si>
  <si>
    <t>This field will store the standardised consent for tm from the contact stored as Consent,Dissent,Not Asked,Blank or Implied</t>
  </si>
  <si>
    <t>tm_consent_dtm</t>
  </si>
  <si>
    <t>This field will store the Tele Marketing consent received datetime</t>
  </si>
  <si>
    <t>sms_consent_ind</t>
  </si>
  <si>
    <t>This field will store the SMS consent from the contact stored as TRUE/FALSE</t>
  </si>
  <si>
    <t>sms_standardised_consent_value</t>
  </si>
  <si>
    <t>This field will store the standardised consent for sms from the contact stored as Consent,Dissent,Not Asked,Blank or Implied</t>
  </si>
  <si>
    <t>sms_consent_dtm</t>
  </si>
  <si>
    <t>This field will store the SMS consent received datetime</t>
  </si>
  <si>
    <t>mobile_consent_ind</t>
  </si>
  <si>
    <t>This field will store the Mobile consent from the contact stored as TRUE/FALSE</t>
  </si>
  <si>
    <t>mobile_consent_dtm</t>
  </si>
  <si>
    <t>This field will store the Mobile consent received datetime</t>
  </si>
  <si>
    <t>mobile_standardised_consent_value</t>
  </si>
  <si>
    <t>This field will store the standardised consent for mobile from the contact stored as Consent,Dissent,Not Asked,Blank or Implied</t>
  </si>
  <si>
    <t>email_consent_ind</t>
  </si>
  <si>
    <t>This field will store the Email consent from the contact stored as TRUE/FALSE</t>
  </si>
  <si>
    <t>email_standardised_consent_value</t>
  </si>
  <si>
    <t>This field will store the standardised consent for e mail from the contact stored as Consent,Dissent,Not Asked,Blank or Implied</t>
  </si>
  <si>
    <t>email_consent_dtm</t>
  </si>
  <si>
    <t>This field will store the email consent received datetime</t>
  </si>
  <si>
    <t>city_name</t>
  </si>
  <si>
    <t>This field will store City Name of contact address</t>
  </si>
  <si>
    <t>state_name</t>
  </si>
  <si>
    <t>This field will store State Name of contact address</t>
  </si>
  <si>
    <t>country_name</t>
  </si>
  <si>
    <t>This field will store Country Name of contact address</t>
  </si>
  <si>
    <t>postal_code</t>
  </si>
  <si>
    <t>This field will store Postal Code of contact address</t>
  </si>
  <si>
    <t>direct_mail_consent_ind</t>
  </si>
  <si>
    <t>This field will store the consent for direct mail from the contact stored as TRUE/FALSE</t>
  </si>
  <si>
    <t>direct_mail_standardised_consent_value</t>
  </si>
  <si>
    <t>This field will store the standardised consent for direct mail from the contact stored as Consent,Dissent,Not Asked,Blank or Implied</t>
  </si>
  <si>
    <t>app_consent_ind</t>
  </si>
  <si>
    <t>This field will store the App access consent flag as TRUE/FALSE</t>
  </si>
  <si>
    <t>Changed name from app_consent_flag_ind to app_consent_ind by Mahesh</t>
  </si>
  <si>
    <t>app_consent_dtm</t>
  </si>
  <si>
    <t>This field will store the App access consent received datetime</t>
  </si>
  <si>
    <t>service_message_only_ind</t>
  </si>
  <si>
    <t>This field will store the consent for service messages as TRUE/FALSE</t>
  </si>
  <si>
    <t>overall_suppression_ind</t>
  </si>
  <si>
    <t>This field will store the overall suppresion flag as TRUE/FALSE, FALSE indicate contact can be used for marketing</t>
  </si>
  <si>
    <t>phone_suppression_ind</t>
  </si>
  <si>
    <t>This field will store the phone suppression flag as TRUE/FALSE, FALSE indicate contact can be used for marketing</t>
  </si>
  <si>
    <t>email_suppression_ind</t>
  </si>
  <si>
    <t>This field will store the Email suppression flag as TRUE/FALSE, FALSE indicate contact can be used for marketing</t>
  </si>
  <si>
    <t>mobile_suppression_ind</t>
  </si>
  <si>
    <t>This field will store the Mobile suppression flag as TRUE/FALSE, FALSE indicate contact can be used for marketing</t>
  </si>
  <si>
    <t>mail_suppression_ind</t>
  </si>
  <si>
    <t>This field will store the mail suppression flag as TRUE/FALSE, FALSE indicate contact can be used for marketing</t>
  </si>
  <si>
    <t>vulgarity_ind</t>
  </si>
  <si>
    <t>This field will indicator value to specify if any vulgur char is present in company name as TRUE/FALSE</t>
  </si>
  <si>
    <t>prime_telephone_contact_ind</t>
  </si>
  <si>
    <t>This field will store prime telephone contact indicator as TRUE/FALSE, True indicate this contact is primemary point of contact for Telephone</t>
  </si>
  <si>
    <t>prime_mobile_contact_ind</t>
  </si>
  <si>
    <t>This field will store prime Mobile contact indicator as TRUE/FALSE, True indicate this contact is primemary point of contact for Mobile</t>
  </si>
  <si>
    <t>prime_email_contact_ind</t>
  </si>
  <si>
    <t>This field will store prime Email contact indicator as TRUE/FALSE, True indicate this contact is primemary point of contact for Email</t>
  </si>
  <si>
    <t>prime_direct_mail_contact_ind</t>
  </si>
  <si>
    <t>This field will store prime Direct Mail contact indicator as TRUE/FALSE, True indicate this contact is primemary point of contact for Direct Mail</t>
  </si>
  <si>
    <t>prime_sms_contact_ind</t>
  </si>
  <si>
    <t>This field will store prime SMS contact indicator as TRUE/FALSE, True indicate this contact is primemary point of contact for SMS</t>
  </si>
  <si>
    <t>prime_visit_contact_ind</t>
  </si>
  <si>
    <t>This field will store prime Visit contact indicator as TRUE/FALSE, True indicate this contact is primemary point of contact for App Visit</t>
  </si>
  <si>
    <t>key_decision_maker_ind</t>
  </si>
  <si>
    <t>To identify if the contact is a decision maker or not. Values are TRUE/FALSE</t>
  </si>
  <si>
    <t>best_sms_contact_priority_number</t>
  </si>
  <si>
    <t>This will store the indicator for Best SMS contact priorities as sequence number with most recent update contact with priority 1</t>
  </si>
  <si>
    <t>best_phone_contact_priority_number</t>
  </si>
  <si>
    <t>This will store the indicator for Best phonecontact priorities as sequence number with most recent update contact with priority 1</t>
  </si>
  <si>
    <t>best_email_contact_priority_number</t>
  </si>
  <si>
    <t>This will store the indicator for Best Email contact priorities as sequence number with most recent update contact with priority 1</t>
  </si>
  <si>
    <t>best_dm_contact_priority_number</t>
  </si>
  <si>
    <t>This will store the indicator for Best DM contact priorities as sequence number with most recent update contact with priority 1</t>
  </si>
  <si>
    <t>contact_unique_rank_email</t>
  </si>
  <si>
    <t>This will store the indicator to identify the unique racord for each Best Email contact priorities.This will have the sequence number for all the recods having same ranke for each company</t>
  </si>
  <si>
    <t>Changed name from uniquerankemail to contact_unique_rank_email by Mahesh</t>
  </si>
  <si>
    <t>contact_unique_rank_phone</t>
  </si>
  <si>
    <t>This will store the indicator to identify the unique racord for each Best Phone contact priorities.This will have the sequence number for all the recods having same ranke for each company</t>
  </si>
  <si>
    <t>Changed name from uniquerankphone to contact_unique_rank_phone by Mahesh</t>
  </si>
  <si>
    <t>contact_unique_rank_sms</t>
  </si>
  <si>
    <t>This will store the indicator to identify the unique racord for each Best SMS contact priorities.This will have the sequence number for all the recods having same ranke for each company</t>
  </si>
  <si>
    <t>Changed name from uniqueranksms to contact_unique_rank_sms by Mahesh</t>
  </si>
  <si>
    <t>contact_unique_rank_dm</t>
  </si>
  <si>
    <t>This will store the indicator to identify the unique racord for each Best DM contact priorities.This will have the sequence number for all the recods having same ranke for each company</t>
  </si>
  <si>
    <t>Changed name from uniquerankdm to contact_unique_rank_dm by Mahesh</t>
  </si>
  <si>
    <t>marketo_sourced_ind</t>
  </si>
  <si>
    <t>This will store the indicator as true if the record is sourced to marketo</t>
  </si>
  <si>
    <t>is_billing_contact_ind</t>
  </si>
  <si>
    <t>This will store the indicator whether the contact is Billing contact or not values are True/False</t>
  </si>
  <si>
    <t>delete_ind</t>
  </si>
  <si>
    <t>This will store the indicator whether the contact is deleted or not values are True/False</t>
  </si>
  <si>
    <t>record_insert_dtm</t>
  </si>
  <si>
    <t>This is the audit column created at table level to show the insert datetime of the particular row in the table</t>
  </si>
  <si>
    <t>record_update_dtm</t>
  </si>
  <si>
    <t>This is the audit column created at table level to show the update datetime of the particular row in the table</t>
  </si>
  <si>
    <t>contactless_company_ind</t>
  </si>
  <si>
    <t>This will store the indicator whether the contact is a dummy record which got inserted as part of contactless company</t>
  </si>
  <si>
    <t>Sythentic ID that represents the Unified Product ID.</t>
  </si>
  <si>
    <t>For other Tables to Join to</t>
  </si>
  <si>
    <t>For other Tables to Join To</t>
  </si>
  <si>
    <t>product_parent_id</t>
  </si>
  <si>
    <t>Reference to Products Parent i.e Which Family or group this product is in.</t>
  </si>
  <si>
    <t>Allows moving up the hierachy to identify the level of relevance between activity and outcome.</t>
  </si>
  <si>
    <t>FK -&gt; Products.Product_ID</t>
  </si>
  <si>
    <t>Short Human Understandable Name of the product.</t>
  </si>
  <si>
    <t>level</t>
  </si>
  <si>
    <t>The Level of the hierachy that this product is in.</t>
  </si>
  <si>
    <t>Tier 0, Tier 1, Tier 2 OR Product, Product Family, Product Group</t>
  </si>
  <si>
    <t>renewal_rate</t>
  </si>
  <si>
    <t>The Likelyhood that this product is renewed on average, May need to be provided from a seperate data source, Or manually collated.</t>
  </si>
  <si>
    <t>Not Used for Modelling</t>
  </si>
  <si>
    <t>Used to help the calculation of customer value change and churn impacts.</t>
  </si>
  <si>
    <t>Decimal</t>
  </si>
  <si>
    <t>Updated name to lower Case renewal_rate from Renewal Rate</t>
  </si>
  <si>
    <t>campaign_membership_id</t>
  </si>
  <si>
    <t>Primary key for this table.</t>
  </si>
  <si>
    <t>Identifies the campaign the company has a status with</t>
  </si>
  <si>
    <t>Identifies the company that has a status with the campaign.</t>
  </si>
  <si>
    <t>Gives the status of the company at the campaign. Primarially for identifying control cell. But Could have further values sumarrising engagement.</t>
  </si>
  <si>
    <t>Identifies is part of control cell</t>
  </si>
  <si>
    <t>Helps for high level campaign interaction KPI's or analysis.</t>
  </si>
  <si>
    <t>Control Cell, Member</t>
  </si>
  <si>
    <t>membership_start_date</t>
  </si>
  <si>
    <t>Date when the company became a member of the campaign or would have been if assigned to control cell.</t>
  </si>
  <si>
    <t>Allows exclusion of impact and standardisation of comparison for control cell analysis.</t>
  </si>
  <si>
    <t>Helpful for investigation</t>
  </si>
  <si>
    <t>Identifies the Channel (method of communication) of the associated marketing activity. This will be copied from the linked Activity Object.</t>
  </si>
  <si>
    <t>Used as part of parameter selection for the base score</t>
  </si>
  <si>
    <t>FK -&gt; Channel.Channel_ID</t>
  </si>
  <si>
    <t>Company id holds the value of company identifier for different company types Customer group id for Customer group and ph_co for Experian prospects</t>
  </si>
  <si>
    <t>sales_account_id</t>
  </si>
  <si>
    <t>This holds the Sales Account Code for CMF flow and BFG flow customers</t>
  </si>
  <si>
    <t>Possibly used in dashboard to facilitate finding and account or grouping similar accounts.</t>
  </si>
  <si>
    <t>STRING</t>
  </si>
  <si>
    <t>company_market_channel_code</t>
  </si>
  <si>
    <t>This holds the value of market_channel value for a company before SoHo migration for company types CUG</t>
  </si>
  <si>
    <t>Option to be used for dashboard segmentation or filtering</t>
  </si>
  <si>
    <t>company_old_market_channel_code</t>
  </si>
  <si>
    <t>This holds the value of old market_channel value for a company before SoHo migration for company types CUG</t>
  </si>
  <si>
    <t>Future Proof in case market channel updated again, this field keeps the pattern.</t>
  </si>
  <si>
    <t>sales_person_id</t>
  </si>
  <si>
    <t>Salesperson id holds the value for Salesperson EIN based on Sales account code of the company</t>
  </si>
  <si>
    <t>Allows filtering of accounts for those owned by particular salesperson.</t>
  </si>
  <si>
    <t>industry_name</t>
  </si>
  <si>
    <t>Industry holds the value of type of business the company deals with</t>
  </si>
  <si>
    <t>Dimension for comparison or filtering, grouping accounts that may behave similarly.</t>
  </si>
  <si>
    <t>billing_country_name</t>
  </si>
  <si>
    <t>Billing Country holds the value of Country name associated with a company based on billing account</t>
  </si>
  <si>
    <t>field for comparison or filtering to understand impact by locations</t>
  </si>
  <si>
    <t>billing_state_name</t>
  </si>
  <si>
    <t>Billing state holds the value of state name associated with a company based on billing account</t>
  </si>
  <si>
    <t>billing_city_name</t>
  </si>
  <si>
    <t>Billing city holds the value of city name associated with a company based on billing account</t>
  </si>
  <si>
    <t>billing_street_name</t>
  </si>
  <si>
    <t>Billing street holds the value of street name associated with a company based on billing account</t>
  </si>
  <si>
    <t>billing_postal_code</t>
  </si>
  <si>
    <t>Billing postcode holds the value of postcode associated with a company based on billing account</t>
  </si>
  <si>
    <t>company_trading_unit_code</t>
  </si>
  <si>
    <t>This holds the value of new Trading unit value for a company after SoHo migration</t>
  </si>
  <si>
    <t>Model parameters are adjusted based upong the company trading unit value</t>
  </si>
  <si>
    <t>All dashboards are filtered based upon the company trading unit value.</t>
  </si>
  <si>
    <t>company_old_trading_unit_code</t>
  </si>
  <si>
    <t>This holds the value of Old Trading unit value for a company before SoHo migration for company types CUG</t>
  </si>
  <si>
    <t>annual_revenue_amount</t>
  </si>
  <si>
    <t>This hold the value of Annual revenue earned by a company</t>
  </si>
  <si>
    <t>Compare of Filter accounts by Size based upon revenue.</t>
  </si>
  <si>
    <t>company_name</t>
  </si>
  <si>
    <t>This holds the value of company name for different company types Customer group name for Customer group and company name for Experian prospects</t>
  </si>
  <si>
    <t>For Drill down analysis and uderstanding impact within specific company. Key field for company view.</t>
  </si>
  <si>
    <t>employees_count</t>
  </si>
  <si>
    <t>This holds the value of Number of employees associated with the company</t>
  </si>
  <si>
    <t>Compare of Filter accounts by Size based upon number of employees.</t>
  </si>
  <si>
    <t>INTEGER</t>
  </si>
  <si>
    <t>sic_code</t>
  </si>
  <si>
    <t>This hold the value of Standard Industrial Classification (SIC) Code for a company</t>
  </si>
  <si>
    <t>Compare of filter accounts by thier industry classification.</t>
  </si>
  <si>
    <t>website_name</t>
  </si>
  <si>
    <t>Website holds the value of website address provided by the company</t>
  </si>
  <si>
    <t>Allows clarification of which company for specific drill down investigations.</t>
  </si>
  <si>
    <t>company_status</t>
  </si>
  <si>
    <t>This holds the value of Company status which says the particular company is CUSTOMER/CEASEDCUSTOMER/PROSPECT</t>
  </si>
  <si>
    <t>For Filtering in dashboards.</t>
  </si>
  <si>
    <t>company_sector_name</t>
  </si>
  <si>
    <t>Company sector holds the value of sector name for a company based on part of the business activity</t>
  </si>
  <si>
    <t>company_territory_name</t>
  </si>
  <si>
    <t>Territory holds the value of a geographic area teh company belonging to</t>
  </si>
  <si>
    <t>Compare of filter accounts by thier region designation</t>
  </si>
  <si>
    <t>company_active_ind</t>
  </si>
  <si>
    <t>This tells whether the comActive flag represent whether the comapny is active or inactive based on the billing details for company types CUG/Experian Prospect Company is active or inactive</t>
  </si>
  <si>
    <t>explanitory varialbe for drill down to understand results for a particular company or group. Possible could be used to exclude accounts from some forward looking views.</t>
  </si>
  <si>
    <t>company_registered_post_code</t>
  </si>
  <si>
    <t>This holds the Registered postcode of a company</t>
  </si>
  <si>
    <t>Possible used for Audience criteria</t>
  </si>
  <si>
    <t>Location based Filtering or comparison</t>
  </si>
  <si>
    <t>company_registered_country_name</t>
  </si>
  <si>
    <t>This holds the Registered country name of a company</t>
  </si>
  <si>
    <t>company_live_sites_count</t>
  </si>
  <si>
    <t>This holds the value of number of live sites available for a company</t>
  </si>
  <si>
    <t>Comparison or filtering on company size based upon sites.</t>
  </si>
  <si>
    <t>company_number_of_sites_count</t>
  </si>
  <si>
    <t>This holds the value of number of total sites available for a company</t>
  </si>
  <si>
    <t>company_aic_code</t>
  </si>
  <si>
    <t>Comany AIC holds the value for Affiliated Industry Code of a company</t>
  </si>
  <si>
    <t>company_business_start_year_value</t>
  </si>
  <si>
    <t>This holds the value of year when the business started for a company</t>
  </si>
  <si>
    <t>Compare of filter accounts by thier age.</t>
  </si>
  <si>
    <t>Changed name from company_business_start_year_number to 	company_business_start_year_value by Mahesh</t>
  </si>
  <si>
    <t>company_overall_suppression_ind</t>
  </si>
  <si>
    <t>If all the channels are suppressed it is completely suppressed (Y) else (N ) ie. anyone of the channel exposed for contact</t>
  </si>
  <si>
    <t>Future Usefulness for monitorying suppression acceptance and explanitory indicator for specific company behavoir.</t>
  </si>
  <si>
    <t>soho_marketing_cohort_code</t>
  </si>
  <si>
    <t>This column holds the values of marketing made to a customers who has similar products, which comes from Franky data</t>
  </si>
  <si>
    <t>For inclusion of frank process analysis. Future use case</t>
  </si>
  <si>
    <t>soho_marketing_promotion_code</t>
  </si>
  <si>
    <t>This column holds the values of promotional marketing made to a customer which has similar products, which comes from Franky data</t>
  </si>
  <si>
    <t>soho_month_cohort_code</t>
  </si>
  <si>
    <t>This column holds the values of monthly marketing made to a customers who has similar products, which comes from Franky data</t>
  </si>
  <si>
    <t>bt_customer_ind</t>
  </si>
  <si>
    <t>This column indicates if the customer is a BT Customer</t>
  </si>
  <si>
    <t>Key Filter for Identifying which dashbaord to show customer</t>
  </si>
  <si>
    <t>ee_customer_ind</t>
  </si>
  <si>
    <t>This column indicates if the customer is a EE Customer</t>
  </si>
  <si>
    <t>company_trading_status</t>
  </si>
  <si>
    <t>This column represents the Company Trading Status</t>
  </si>
  <si>
    <t>Useful for Drilldown investigation and/or exclusions</t>
  </si>
  <si>
    <t>company_death_reason_value</t>
  </si>
  <si>
    <t>This column represents the reason for company death</t>
  </si>
  <si>
    <t>Changed name from company_death_reason_desc to company_death_reason_value by Mahesh</t>
  </si>
  <si>
    <t>Missing</t>
  </si>
  <si>
    <t>deleted_flag_ind</t>
  </si>
  <si>
    <t>This hold the flag to show whether the company is active/inactive, also used for soft deletion</t>
  </si>
  <si>
    <t>Dashboard should still include "deleted Data" to maintain accurate history. However knowing they are deleted may be useful for investigative analysis.</t>
  </si>
  <si>
    <t>Changed name from deleted_flag to deleted_flag_ind by Mahesh</t>
  </si>
  <si>
    <t>The Specific type of action taken by the person to interact with the marketing activity. This will be copied from the linked interaction object</t>
  </si>
  <si>
    <t>campaign_spend_name</t>
  </si>
  <si>
    <t>approval_status</t>
  </si>
  <si>
    <t>spend_request_id</t>
  </si>
  <si>
    <t>Primary key for the Spend Requests</t>
  </si>
  <si>
    <t>Foreign key related to the campaign the spend is for</t>
  </si>
  <si>
    <t>FK -&gt; Campaign.Campaign_id</t>
  </si>
  <si>
    <t>budget</t>
  </si>
  <si>
    <t>attribution</t>
  </si>
  <si>
    <t>spend_category</t>
  </si>
  <si>
    <t>spend_planned_type</t>
  </si>
  <si>
    <t>is_retrospective_request</t>
  </si>
  <si>
    <t>date_requested</t>
  </si>
  <si>
    <t>date_ready_for_review</t>
  </si>
  <si>
    <t>date_approved</t>
  </si>
  <si>
    <t>short_description</t>
  </si>
  <si>
    <t>requestor</t>
  </si>
  <si>
    <t>is_big_idea</t>
  </si>
  <si>
    <t>return_on_investment_category</t>
  </si>
  <si>
    <t>kpi_roi_summary</t>
  </si>
  <si>
    <t>buyer_journey_stage</t>
  </si>
  <si>
    <t>Three E's, Which part of the of journey with the market is being targeted.</t>
  </si>
  <si>
    <t>marketing_team</t>
  </si>
  <si>
    <t>ops_manager</t>
  </si>
  <si>
    <t>is_ops_manager_approved</t>
  </si>
  <si>
    <t>market_channel</t>
  </si>
  <si>
    <t>supplier</t>
  </si>
  <si>
    <t>other_supplier</t>
  </si>
  <si>
    <t>wbs_line</t>
  </si>
  <si>
    <t>Work Breakdown Structure</t>
  </si>
  <si>
    <t>pr_number</t>
  </si>
  <si>
    <t>po_number</t>
  </si>
  <si>
    <t>po_raised_date</t>
  </si>
  <si>
    <t>po_description</t>
  </si>
  <si>
    <t>receipted_type</t>
  </si>
  <si>
    <t>partner</t>
  </si>
  <si>
    <t>other_partner</t>
  </si>
  <si>
    <t>partner_funding_agreed</t>
  </si>
  <si>
    <t>is_std_term</t>
  </si>
  <si>
    <t>non_std_term_detail</t>
  </si>
  <si>
    <t>cost_type</t>
  </si>
  <si>
    <t>currency</t>
  </si>
  <si>
    <t>supplier_work_start_date</t>
  </si>
  <si>
    <t>supplier_work_end_date</t>
  </si>
  <si>
    <t>is_customer_facing_activity</t>
  </si>
  <si>
    <t>po_raised_by</t>
  </si>
  <si>
    <t>budget_and_ops_team</t>
  </si>
  <si>
    <t>monday_doc_v2</t>
  </si>
  <si>
    <t>pct_smb</t>
  </si>
  <si>
    <t>pct_cps</t>
  </si>
  <si>
    <t>pct_wholesale</t>
  </si>
  <si>
    <t>pct_international</t>
  </si>
  <si>
    <t>marketed_product_id</t>
  </si>
  <si>
    <t>Link to the product that was promoted as part of the Marketing activity the interaction is against.</t>
  </si>
  <si>
    <t>Future Proof where the logic to select which product may be non trivial as marketing product could come from multiple sources.</t>
  </si>
  <si>
    <t>outcome_product_id</t>
  </si>
  <si>
    <t>Link to the product that the outcome was for.</t>
  </si>
  <si>
    <t>Needed to for mapping the Lag differently by product.</t>
  </si>
  <si>
    <t>Link to the campaign associated with this interaction.</t>
  </si>
  <si>
    <t>Not needed for modelling</t>
  </si>
  <si>
    <t>Allows simple joins from link table to campaign</t>
  </si>
  <si>
    <t>FK -&gt; campaign.campaign_ID</t>
  </si>
  <si>
    <t>Use Case DP 
Attribute Name</t>
  </si>
  <si>
    <t xml:space="preserve">record_insert_dtm
 </t>
  </si>
  <si>
    <t>rec_eff_date</t>
  </si>
  <si>
    <t>rec_end_date</t>
  </si>
  <si>
    <t>active_flag</t>
  </si>
  <si>
    <t>Activity ID</t>
  </si>
  <si>
    <t>Outcome ID</t>
  </si>
  <si>
    <t>Outcome Type</t>
  </si>
  <si>
    <t>Link ID</t>
  </si>
  <si>
    <t>Interaction</t>
  </si>
  <si>
    <t>Contact</t>
  </si>
  <si>
    <t>Relation Type</t>
  </si>
  <si>
    <t>Time Lag (Days)</t>
  </si>
  <si>
    <t>Weight</t>
  </si>
  <si>
    <t>Outcome Value</t>
  </si>
  <si>
    <t>Attributed Amount</t>
  </si>
  <si>
    <t>Sales Order Value</t>
  </si>
  <si>
    <t>Sales Order Value Gross Margin</t>
  </si>
  <si>
    <t>Initial Contract Value</t>
  </si>
  <si>
    <t>Initial Contract Value Gross margin</t>
  </si>
  <si>
    <t>Average Revenue per Unit</t>
  </si>
  <si>
    <t>Opportunty Created</t>
  </si>
  <si>
    <t>a</t>
  </si>
  <si>
    <t>Direct Through Order</t>
  </si>
  <si>
    <t>Opportunty Won</t>
  </si>
  <si>
    <t>b</t>
  </si>
  <si>
    <t>Through Company</t>
  </si>
  <si>
    <t>h</t>
  </si>
  <si>
    <t>Inferred company</t>
  </si>
  <si>
    <t>c</t>
  </si>
  <si>
    <t>Through Contact &amp; Company</t>
  </si>
  <si>
    <t>d</t>
  </si>
  <si>
    <t>e</t>
  </si>
  <si>
    <t>f</t>
  </si>
  <si>
    <t>g</t>
  </si>
  <si>
    <t>Dashboards</t>
  </si>
  <si>
    <t>Dependancies</t>
  </si>
  <si>
    <t>Total Conversions</t>
  </si>
  <si>
    <t> Count of desired actions (purchases, sign-ups, etc.).</t>
  </si>
  <si>
    <t>Conversion Rate </t>
  </si>
  <si>
    <t xml:space="preserve"> (Conversions / Audience Size) × 100</t>
  </si>
  <si>
    <t>Time to Conversion </t>
  </si>
  <si>
    <t xml:space="preserve"> Avg. days between first marketing touchpoint and conversion.</t>
  </si>
  <si>
    <t>Conversion Rate by Channel </t>
  </si>
  <si>
    <t xml:space="preserve"> Conversions per channel / Total audience reached via that channel.</t>
  </si>
  <si>
    <t>Churn Rate </t>
  </si>
  <si>
    <t xml:space="preserve"> (Customers Lost / Total Customers at Start of Period) × 100</t>
  </si>
  <si>
    <t>Marketing Impact on Churn </t>
  </si>
  <si>
    <t xml:space="preserve"> Reduction in churn among customers exposed to marketing.</t>
  </si>
  <si>
    <t>Attributed Marketing Impact -</t>
  </si>
  <si>
    <t>Attributed Revenue per Channel </t>
  </si>
  <si>
    <t xml:space="preserve"> Revenue from customers exposed to marketing per channel.</t>
  </si>
  <si>
    <t>Incremental Lift from Marketing </t>
  </si>
  <si>
    <t xml:space="preserve"> (Conversion Rate of Exposed Group - Conversion Rate of Non-Exposed Group)</t>
  </si>
  <si>
    <t>Marketing Influence Score </t>
  </si>
  <si>
    <t xml:space="preserve"> Weighted impact of different marketing touchpoints on final outcomes.</t>
  </si>
  <si>
    <t>Multi-Touch Attribution Value per Path </t>
  </si>
  <si>
    <t xml:space="preserve"> Total attributed revenue divided by the % of conversions that followed a specific marketing sequence.</t>
  </si>
  <si>
    <t>Customer Segmentation &amp; Behavioural Trends -</t>
  </si>
  <si>
    <t>Customer Lifetime Value (CLV) Banding </t>
  </si>
  <si>
    <t xml:space="preserve"> Avg. revenue per customer over a defined period.</t>
  </si>
  <si>
    <t>Retention Rate by Audience Segment </t>
  </si>
  <si>
    <t xml:space="preserve"> % of customers retained within each segment (e.g., industry, location, tenure).</t>
  </si>
  <si>
    <t>Most Common Engagement Paths </t>
  </si>
  <si>
    <t xml:space="preserve"> Rank sequences of interactions that most often lead to conversion.</t>
  </si>
  <si>
    <t>Content Effectiveness Score </t>
  </si>
  <si>
    <t xml:space="preserve"> Engagement rate per marketing asset (emails, ads, videos, etc.).</t>
  </si>
  <si>
    <t>Business Description</t>
  </si>
  <si>
    <t>Technical Description</t>
  </si>
  <si>
    <t>Outcome Timeframe</t>
  </si>
  <si>
    <r>
      <rPr>
        <sz val="11"/>
        <color theme="4"/>
        <rFont val="Aptos Narrow"/>
        <family val="2"/>
        <scheme val="minor"/>
      </rPr>
      <t>All Outcomes</t>
    </r>
    <r>
      <rPr>
        <sz val="11"/>
        <color theme="1"/>
        <rFont val="Aptos Narrow"/>
        <family val="2"/>
        <scheme val="minor"/>
      </rPr>
      <t xml:space="preserve">, </t>
    </r>
    <r>
      <rPr>
        <sz val="11"/>
        <color theme="5"/>
        <rFont val="Aptos Narrow"/>
        <family val="2"/>
        <scheme val="minor"/>
      </rPr>
      <t>Product Outcomes</t>
    </r>
    <r>
      <rPr>
        <sz val="11"/>
        <color theme="1"/>
        <rFont val="Aptos Narrow"/>
        <family val="2"/>
        <scheme val="minor"/>
      </rPr>
      <t xml:space="preserve">, </t>
    </r>
    <r>
      <rPr>
        <sz val="11"/>
        <color theme="7"/>
        <rFont val="Aptos Narrow"/>
        <family val="2"/>
        <scheme val="minor"/>
      </rPr>
      <t>Audience Analysis</t>
    </r>
  </si>
  <si>
    <t xml:space="preserve">This is the Time that the outcome is recognised by the business. Here we are interested in the Raised date for orders, For other outcomes which field to use will vary
</t>
  </si>
  <si>
    <t>“This is the time that the outcome is recognized by the business. Here we are interested in the Raised date for orders. For other outcomes, which date field to use can vary.”</t>
  </si>
  <si>
    <r>
      <t xml:space="preserve">Typically derived from the “raised date” (or similar) in the orders/outcomes data. Stored in a field like </t>
    </r>
    <r>
      <rPr>
        <sz val="10"/>
        <color theme="1"/>
        <rFont val="Arial Unicode MS"/>
      </rPr>
      <t>outcome_date</t>
    </r>
    <r>
      <rPr>
        <sz val="11"/>
        <color theme="1"/>
        <rFont val="Aptos Narrow"/>
        <family val="2"/>
        <scheme val="minor"/>
      </rPr>
      <t xml:space="preserve"> or </t>
    </r>
    <r>
      <rPr>
        <sz val="10"/>
        <color theme="1"/>
        <rFont val="Arial Unicode MS"/>
      </rPr>
      <t>order_raised_date</t>
    </r>
    <r>
      <rPr>
        <sz val="11"/>
        <color theme="1"/>
        <rFont val="Aptos Narrow"/>
        <family val="2"/>
        <scheme val="minor"/>
      </rPr>
      <t xml:space="preserve">. Used as a </t>
    </r>
    <r>
      <rPr>
        <b/>
        <sz val="11"/>
        <color theme="1"/>
        <rFont val="Aptos Narrow"/>
        <family val="2"/>
        <scheme val="minor"/>
      </rPr>
      <t>filter</t>
    </r>
    <r>
      <rPr>
        <sz val="11"/>
        <color theme="1"/>
        <rFont val="Aptos Narrow"/>
        <family val="2"/>
        <scheme val="minor"/>
      </rPr>
      <t xml:space="preserve"> on dashboards to constrain the timeframe of recognized outcomes.</t>
    </r>
  </si>
  <si>
    <t>Business Segment</t>
  </si>
  <si>
    <r>
      <rPr>
        <sz val="11"/>
        <color theme="4"/>
        <rFont val="Aptos Narrow"/>
        <family val="2"/>
        <scheme val="minor"/>
      </rPr>
      <t>All Outcomes</t>
    </r>
    <r>
      <rPr>
        <sz val="11"/>
        <color theme="1"/>
        <rFont val="Aptos Narrow"/>
        <family val="2"/>
        <scheme val="minor"/>
      </rPr>
      <t xml:space="preserve">, </t>
    </r>
    <r>
      <rPr>
        <sz val="11"/>
        <color theme="5"/>
        <rFont val="Aptos Narrow"/>
        <family val="2"/>
        <scheme val="minor"/>
      </rPr>
      <t>Product Outcomes</t>
    </r>
    <r>
      <rPr>
        <sz val="11"/>
        <color theme="1"/>
        <rFont val="Aptos Narrow"/>
        <family val="2"/>
        <scheme val="minor"/>
      </rPr>
      <t xml:space="preserve">, </t>
    </r>
    <r>
      <rPr>
        <sz val="11"/>
        <color theme="7"/>
        <rFont val="Aptos Narrow"/>
        <family val="2"/>
        <scheme val="minor"/>
      </rPr>
      <t>Audience Analysis</t>
    </r>
    <r>
      <rPr>
        <sz val="11"/>
        <color theme="1"/>
        <rFont val="Aptos Narrow"/>
        <family val="2"/>
        <scheme val="minor"/>
      </rPr>
      <t xml:space="preserve">, </t>
    </r>
    <r>
      <rPr>
        <sz val="11"/>
        <color theme="8"/>
        <rFont val="Aptos Narrow"/>
        <family val="2"/>
        <scheme val="minor"/>
      </rPr>
      <t>Marketing Impact</t>
    </r>
    <r>
      <rPr>
        <sz val="11"/>
        <color theme="1"/>
        <rFont val="Aptos Narrow"/>
        <family val="2"/>
        <scheme val="minor"/>
      </rPr>
      <t xml:space="preserve">, </t>
    </r>
    <r>
      <rPr>
        <sz val="11"/>
        <color theme="9"/>
        <rFont val="Aptos Narrow"/>
        <family val="2"/>
        <scheme val="minor"/>
      </rPr>
      <t>Channel Impact</t>
    </r>
  </si>
  <si>
    <t>SMB, CPS</t>
  </si>
  <si>
    <t>“SMB, CPS”</t>
  </si>
  <si>
    <r>
      <t xml:space="preserve">A categorical/lookup field indicating the segment classification for each account or lead (e.g., </t>
    </r>
    <r>
      <rPr>
        <sz val="10"/>
        <color theme="1"/>
        <rFont val="Arial Unicode MS"/>
      </rPr>
      <t>'SMB'</t>
    </r>
    <r>
      <rPr>
        <sz val="11"/>
        <color theme="1"/>
        <rFont val="Aptos Narrow"/>
        <family val="2"/>
        <scheme val="minor"/>
      </rPr>
      <t xml:space="preserve">, </t>
    </r>
    <r>
      <rPr>
        <sz val="10"/>
        <color theme="1"/>
        <rFont val="Arial Unicode MS"/>
      </rPr>
      <t>'CPS'</t>
    </r>
    <r>
      <rPr>
        <sz val="11"/>
        <color theme="1"/>
        <rFont val="Aptos Narrow"/>
        <family val="2"/>
        <scheme val="minor"/>
      </rPr>
      <t xml:space="preserve">). Likely stored in a field like </t>
    </r>
    <r>
      <rPr>
        <sz val="10"/>
        <color theme="1"/>
        <rFont val="Arial Unicode MS"/>
      </rPr>
      <t>business_segment</t>
    </r>
    <r>
      <rPr>
        <sz val="11"/>
        <color theme="1"/>
        <rFont val="Aptos Narrow"/>
        <family val="2"/>
        <scheme val="minor"/>
      </rPr>
      <t xml:space="preserve"> in your master account/customer table.</t>
    </r>
  </si>
  <si>
    <t>???</t>
  </si>
  <si>
    <t xml:space="preserve">The Number of Accounts with Orders by the number of distinct accounts in the Audience.
</t>
  </si>
  <si>
    <t>Orders, Distinct Accounts, Audience</t>
  </si>
  <si>
    <t>“The Number of Accounts with Orders by the number of distinct Accounts in the Audience.”</t>
  </si>
  <si>
    <r>
      <t xml:space="preserve">A count of unique accounts that have placed an order </t>
    </r>
    <r>
      <rPr>
        <b/>
        <sz val="11"/>
        <color theme="1"/>
        <rFont val="Aptos Narrow"/>
        <family val="2"/>
        <scheme val="minor"/>
      </rPr>
      <t>divided by</t>
    </r>
    <r>
      <rPr>
        <sz val="11"/>
        <color theme="1"/>
        <rFont val="Aptos Narrow"/>
        <family val="2"/>
        <scheme val="minor"/>
      </rPr>
      <t xml:space="preserve"> the total number of distinct accounts in the relevant audience. E.g., </t>
    </r>
    <r>
      <rPr>
        <sz val="10"/>
        <color theme="1"/>
        <rFont val="Arial Unicode MS"/>
      </rPr>
      <t>COUNT(DISTINCT account_id WHERE has_order=true) / COUNT(DISTINCT account_id)</t>
    </r>
    <r>
      <rPr>
        <sz val="11"/>
        <color theme="1"/>
        <rFont val="Aptos Narrow"/>
        <family val="2"/>
        <scheme val="minor"/>
      </rPr>
      <t>. Often displayed as a raw count (“converted accounts”) or a rate (“conversion rate”).</t>
    </r>
  </si>
  <si>
    <t>Total Outcome Order Value</t>
  </si>
  <si>
    <r>
      <rPr>
        <sz val="11"/>
        <color theme="4"/>
        <rFont val="Aptos Narrow"/>
        <family val="2"/>
        <scheme val="minor"/>
      </rPr>
      <t>All Outcomes</t>
    </r>
    <r>
      <rPr>
        <sz val="11"/>
        <color theme="1"/>
        <rFont val="Aptos Narrow"/>
        <family val="2"/>
        <scheme val="minor"/>
      </rPr>
      <t xml:space="preserve">, </t>
    </r>
    <r>
      <rPr>
        <sz val="11"/>
        <color theme="5"/>
        <rFont val="Aptos Narrow"/>
        <family val="2"/>
        <scheme val="minor"/>
      </rPr>
      <t>Product Outcomes</t>
    </r>
    <r>
      <rPr>
        <sz val="11"/>
        <color theme="1"/>
        <rFont val="Aptos Narrow"/>
        <family val="2"/>
        <scheme val="minor"/>
      </rPr>
      <t xml:space="preserve">, </t>
    </r>
    <r>
      <rPr>
        <sz val="11"/>
        <color theme="6"/>
        <rFont val="Aptos Narrow"/>
        <family val="2"/>
        <scheme val="minor"/>
      </rPr>
      <t>Specific Company Analysis</t>
    </r>
    <r>
      <rPr>
        <sz val="11"/>
        <color theme="1"/>
        <rFont val="Aptos Narrow"/>
        <family val="2"/>
        <scheme val="minor"/>
      </rPr>
      <t xml:space="preserve">, </t>
    </r>
    <r>
      <rPr>
        <sz val="11"/>
        <color theme="7"/>
        <rFont val="Aptos Narrow"/>
        <family val="2"/>
        <scheme val="minor"/>
      </rPr>
      <t>Audience Analysis</t>
    </r>
  </si>
  <si>
    <r>
      <t xml:space="preserve">Sum of </t>
    </r>
    <r>
      <rPr>
        <b/>
        <sz val="11"/>
        <color theme="1"/>
        <rFont val="Aptos Narrow"/>
        <family val="2"/>
        <scheme val="minor"/>
      </rPr>
      <t>Total_SOV</t>
    </r>
    <r>
      <rPr>
        <sz val="11"/>
        <color theme="1"/>
        <rFont val="Aptos Narrow"/>
        <family val="2"/>
        <scheme val="minor"/>
      </rPr>
      <t xml:space="preserve"> for all </t>
    </r>
    <r>
      <rPr>
        <b/>
        <sz val="11"/>
        <color theme="1"/>
        <rFont val="Aptos Narrow"/>
        <family val="2"/>
        <scheme val="minor"/>
      </rPr>
      <t>raised</t>
    </r>
    <r>
      <rPr>
        <sz val="11"/>
        <color theme="1"/>
        <rFont val="Aptos Narrow"/>
        <family val="2"/>
        <scheme val="minor"/>
      </rPr>
      <t xml:space="preserve"> Orders
</t>
    </r>
  </si>
  <si>
    <t>“Sum of Total_SOV for all raised Orders.”</t>
  </si>
  <si>
    <r>
      <t xml:space="preserve">Aggregates the </t>
    </r>
    <r>
      <rPr>
        <b/>
        <sz val="11"/>
        <color theme="1"/>
        <rFont val="Aptos Narrow"/>
        <family val="2"/>
        <scheme val="minor"/>
      </rPr>
      <t>sum of value</t>
    </r>
    <r>
      <rPr>
        <sz val="11"/>
        <color theme="1"/>
        <rFont val="Aptos Narrow"/>
        <family val="2"/>
        <scheme val="minor"/>
      </rPr>
      <t xml:space="preserve"> across all orders in a given timeframe or segment. E.g., </t>
    </r>
    <r>
      <rPr>
        <sz val="10"/>
        <color theme="1"/>
        <rFont val="Arial Unicode MS"/>
      </rPr>
      <t>SUM(order_total_sov)</t>
    </r>
    <r>
      <rPr>
        <sz val="11"/>
        <color theme="1"/>
        <rFont val="Aptos Narrow"/>
        <family val="2"/>
        <scheme val="minor"/>
      </rPr>
      <t xml:space="preserve"> from </t>
    </r>
    <r>
      <rPr>
        <sz val="10"/>
        <color theme="1"/>
        <rFont val="Arial Unicode MS"/>
      </rPr>
      <t>orders</t>
    </r>
    <r>
      <rPr>
        <sz val="11"/>
        <color theme="1"/>
        <rFont val="Aptos Narrow"/>
        <family val="2"/>
        <scheme val="minor"/>
      </rPr>
      <t xml:space="preserve"> (filtered by timeframe).</t>
    </r>
  </si>
  <si>
    <t>Total Outcome Customer Value Change</t>
  </si>
  <si>
    <r>
      <rPr>
        <b/>
        <sz val="11"/>
        <color theme="1"/>
        <rFont val="Aptos Narrow"/>
        <family val="2"/>
        <scheme val="minor"/>
      </rPr>
      <t>Option 1:</t>
    </r>
    <r>
      <rPr>
        <sz val="11"/>
        <color theme="1"/>
        <rFont val="Aptos Narrow"/>
        <family val="2"/>
        <scheme val="minor"/>
      </rPr>
      <t xml:space="preserve">
Value Change = Total_SOV - PREV_TOTAL_SOV
Keep this for only new Renewal or changed orders.
This is for the date that the new order is raised.
</t>
    </r>
    <r>
      <rPr>
        <b/>
        <sz val="11"/>
        <color theme="1"/>
        <rFont val="Aptos Narrow"/>
        <family val="2"/>
        <scheme val="minor"/>
      </rPr>
      <t>Option 2:</t>
    </r>
    <r>
      <rPr>
        <sz val="11"/>
        <color theme="1"/>
        <rFont val="Aptos Narrow"/>
        <family val="2"/>
        <scheme val="minor"/>
      </rPr>
      <t xml:space="preserve">
Value Change  = Sum (Total_SOV) Where Raised date in Timeframe
                                 - Sum (Total_SOV) Where Ceased Date in Timeframe
Relies on Ceased dates being correct, Also need to consider how raised but ultimately failed orders are considered. </t>
    </r>
  </si>
  <si>
    <t>“(Option 1) Value Change = Total_SOV - PREV_TOTAL_SOV. (Option 2) Value Change = Sum(Total_SOV) where raised date in timeframe - Sum(Total_SOV) where ceased date in timeframe.”</t>
  </si>
  <si>
    <r>
      <t xml:space="preserve">Tracks how a customer’s total service/order value changes over time (new vs. ceased). One approach is </t>
    </r>
    <r>
      <rPr>
        <sz val="10"/>
        <color theme="1"/>
        <rFont val="Arial Unicode MS"/>
      </rPr>
      <t>current_sov - previous_sov</t>
    </r>
    <r>
      <rPr>
        <sz val="11"/>
        <color theme="1"/>
        <rFont val="Aptos Narrow"/>
        <family val="2"/>
        <scheme val="minor"/>
      </rPr>
      <t>. Alternatively, measure new SOV raised minus SOV ceased in the timeframe. Store or compute from orders data (raised_date, ceased_date).</t>
    </r>
  </si>
  <si>
    <t>Total Outcome Churn</t>
  </si>
  <si>
    <r>
      <rPr>
        <sz val="11"/>
        <color rgb="FF000000"/>
        <rFont val="Aptos Narrow"/>
        <family val="2"/>
        <scheme val="minor"/>
      </rPr>
      <t xml:space="preserve">Churn could be at 3 levels Customer, Product Group, Specific Product.
</t>
    </r>
    <r>
      <rPr>
        <b/>
        <sz val="11"/>
        <color rgb="FF000000"/>
        <rFont val="Aptos Narrow"/>
        <family val="2"/>
        <scheme val="minor"/>
      </rPr>
      <t xml:space="preserve">Specific Product
Option 1:
</t>
    </r>
    <r>
      <rPr>
        <sz val="11"/>
        <color rgb="FF000000"/>
        <rFont val="Aptos Narrow"/>
        <family val="2"/>
        <scheme val="minor"/>
      </rPr>
      <t xml:space="preserve">For a Customer (Billing Account Level) A churn on a date occurs when on the previous day there was at least on active product for that customer. But on the selected day there are no longer any active products for the particular product specified.
Products that cease but there exists another product that is linked as a renewal even if its a different product. Would not count as a product level churn.
</t>
    </r>
    <r>
      <rPr>
        <b/>
        <sz val="11"/>
        <color rgb="FF000000"/>
        <rFont val="Aptos Narrow"/>
        <family val="2"/>
        <scheme val="minor"/>
      </rPr>
      <t xml:space="preserve">Product Family
</t>
    </r>
    <r>
      <rPr>
        <sz val="11"/>
        <color rgb="FF000000"/>
        <rFont val="Aptos Narrow"/>
        <family val="2"/>
        <scheme val="minor"/>
      </rPr>
      <t xml:space="preserve">As Above but here looking at all product for a customer within a product family, If the count of live products for a product family for a customer goes from 1&gt;0 This is a churn event for this customer (BAN).
Again exclude from this products where there is a linked renewal for a product even if in a different family.
</t>
    </r>
    <r>
      <rPr>
        <b/>
        <sz val="11"/>
        <color rgb="FF000000"/>
        <rFont val="Aptos Narrow"/>
        <family val="2"/>
        <scheme val="minor"/>
      </rPr>
      <t xml:space="preserve">Customer
</t>
    </r>
    <r>
      <rPr>
        <sz val="11"/>
        <color rgb="FF000000"/>
        <rFont val="Aptos Narrow"/>
        <family val="2"/>
        <scheme val="minor"/>
      </rPr>
      <t>For a customer (BAN) a Churn occurs on a date where the count of live products goes from 1&gt;0. 
Outstanding Questions:
- Which is the field for the ceased date</t>
    </r>
  </si>
  <si>
    <t>“Churn could be at 3 levels: Customer, Product Group, Specific Product. A churn event occurs on a date if the count of live products goes from 1→0 with no renewal link.”</t>
  </si>
  <si>
    <r>
      <t xml:space="preserve">You can measure churn events/amount by comparing active product records day-to-day. E.g., a product is “ceased” on date X if it was active the prior day. Product-level or family-level churn excludes renewals. Technically, you might store </t>
    </r>
    <r>
      <rPr>
        <sz val="10"/>
        <color theme="1"/>
        <rFont val="Arial Unicode MS"/>
      </rPr>
      <t>churn_date</t>
    </r>
    <r>
      <rPr>
        <sz val="11"/>
        <color theme="1"/>
        <rFont val="Aptos Narrow"/>
        <family val="2"/>
        <scheme val="minor"/>
      </rPr>
      <t xml:space="preserve"> or compare </t>
    </r>
    <r>
      <rPr>
        <sz val="10"/>
        <color theme="1"/>
        <rFont val="Arial Unicode MS"/>
      </rPr>
      <t>active_product_count</t>
    </r>
    <r>
      <rPr>
        <sz val="11"/>
        <color theme="1"/>
        <rFont val="Aptos Narrow"/>
        <family val="2"/>
        <scheme val="minor"/>
      </rPr>
      <t xml:space="preserve"> from t to t-1.</t>
    </r>
  </si>
  <si>
    <t>Attributed Outcome Order Value Amount</t>
  </si>
  <si>
    <r>
      <rPr>
        <sz val="11"/>
        <color theme="4"/>
        <rFont val="Aptos Narrow"/>
        <family val="2"/>
        <scheme val="minor"/>
      </rPr>
      <t>All Outcomes</t>
    </r>
    <r>
      <rPr>
        <sz val="11"/>
        <color theme="1"/>
        <rFont val="Aptos Narrow"/>
        <family val="2"/>
        <scheme val="minor"/>
      </rPr>
      <t xml:space="preserve">, </t>
    </r>
    <r>
      <rPr>
        <sz val="11"/>
        <color theme="5"/>
        <rFont val="Aptos Narrow"/>
        <family val="2"/>
        <scheme val="minor"/>
      </rPr>
      <t>Product Outcomes</t>
    </r>
    <r>
      <rPr>
        <sz val="11"/>
        <color theme="1"/>
        <rFont val="Aptos Narrow"/>
        <family val="2"/>
        <scheme val="minor"/>
      </rPr>
      <t xml:space="preserve">, </t>
    </r>
    <r>
      <rPr>
        <sz val="11"/>
        <color theme="6"/>
        <rFont val="Aptos Narrow"/>
        <family val="2"/>
        <scheme val="minor"/>
      </rPr>
      <t>Specific Company Analysis</t>
    </r>
    <r>
      <rPr>
        <sz val="11"/>
        <color theme="1"/>
        <rFont val="Aptos Narrow"/>
        <family val="2"/>
        <scheme val="minor"/>
      </rPr>
      <t xml:space="preserve">, </t>
    </r>
    <r>
      <rPr>
        <sz val="11"/>
        <color theme="7"/>
        <rFont val="Aptos Narrow"/>
        <family val="2"/>
        <scheme val="minor"/>
      </rPr>
      <t>Audience Analysis</t>
    </r>
    <r>
      <rPr>
        <sz val="11"/>
        <color theme="1"/>
        <rFont val="Aptos Narrow"/>
        <family val="2"/>
        <scheme val="minor"/>
      </rPr>
      <t xml:space="preserve">, </t>
    </r>
    <r>
      <rPr>
        <sz val="11"/>
        <color theme="8"/>
        <rFont val="Aptos Narrow"/>
        <family val="2"/>
        <scheme val="minor"/>
      </rPr>
      <t>Marketing Impact</t>
    </r>
    <r>
      <rPr>
        <sz val="11"/>
        <color theme="1"/>
        <rFont val="Aptos Narrow"/>
        <family val="2"/>
        <scheme val="minor"/>
      </rPr>
      <t xml:space="preserve">, </t>
    </r>
    <r>
      <rPr>
        <sz val="11"/>
        <color theme="9"/>
        <rFont val="Aptos Narrow"/>
        <family val="2"/>
        <scheme val="minor"/>
      </rPr>
      <t>Channel Impact</t>
    </r>
    <r>
      <rPr>
        <sz val="11"/>
        <color theme="1"/>
        <rFont val="Aptos Narrow"/>
        <family val="2"/>
        <scheme val="minor"/>
      </rPr>
      <t xml:space="preserve">, </t>
    </r>
    <r>
      <rPr>
        <sz val="11"/>
        <color rgb="FFC00000"/>
        <rFont val="Aptos Narrow"/>
        <family val="2"/>
        <scheme val="minor"/>
      </rPr>
      <t>Campaign Impact</t>
    </r>
    <r>
      <rPr>
        <sz val="11"/>
        <color theme="1"/>
        <rFont val="Aptos Narrow"/>
        <family val="2"/>
        <scheme val="minor"/>
      </rPr>
      <t xml:space="preserve">, </t>
    </r>
    <r>
      <rPr>
        <sz val="11"/>
        <color theme="5" tint="-0.499984740745262"/>
        <rFont val="Aptos Narrow"/>
        <family val="2"/>
        <scheme val="minor"/>
      </rPr>
      <t>Marketing Technology Impact</t>
    </r>
  </si>
  <si>
    <t>Sum (Total_SOV for raised orders * Attribute %)
Apply the attributed Percentage reduction to each raised order then Sum these.</t>
  </si>
  <si>
    <t>“Sum (Total_SOV for raised orders * Attribute %). Apply the attributed percentage to each raised order, then sum.”</t>
  </si>
  <si>
    <r>
      <t xml:space="preserve">For each order, multiply its </t>
    </r>
    <r>
      <rPr>
        <sz val="10"/>
        <color theme="1"/>
        <rFont val="Arial Unicode MS"/>
      </rPr>
      <t>order_value</t>
    </r>
    <r>
      <rPr>
        <sz val="11"/>
        <color theme="1"/>
        <rFont val="Aptos Narrow"/>
        <family val="2"/>
        <scheme val="minor"/>
      </rPr>
      <t xml:space="preserve"> (Total_SOV) by the marketing attribution factor (e.g., 0.3 if 30% is attributed to marketing). Then sum across all orders in the timeframe or segment. Technically: </t>
    </r>
    <r>
      <rPr>
        <sz val="10"/>
        <color theme="1"/>
        <rFont val="Arial Unicode MS"/>
      </rPr>
      <t>SUM(order_value * marketing_attribution_pct)</t>
    </r>
    <r>
      <rPr>
        <sz val="11"/>
        <color theme="1"/>
        <rFont val="Aptos Narrow"/>
        <family val="2"/>
        <scheme val="minor"/>
      </rPr>
      <t>.</t>
    </r>
  </si>
  <si>
    <t>Attributed Outcome Order Value Percentage</t>
  </si>
  <si>
    <t>Aggregated (Attributed Outcome order values amount) / 
Agreegated (Outcome order value amount)
This is likely to be different to the sum of the attributed percentages. As it might be that larger orders have a larger marketing attribution and so the total amount attributed to marketing is higher once order values are taken into account.
Here the order value could be any of SOV, SOV_GM, ICV, ICV_GM. Suggest the dashboard has some sort of switcher to move between these.</t>
  </si>
  <si>
    <t>(Percentage of total order value that is attributed to marketing.)</t>
  </si>
  <si>
    <r>
      <t xml:space="preserve">Calculated as </t>
    </r>
    <r>
      <rPr>
        <sz val="10"/>
        <color theme="1"/>
        <rFont val="Arial Unicode MS"/>
      </rPr>
      <t>(Attributed Outcome Order Value Amount / Total Outcome Order Value) * 100</t>
    </r>
    <r>
      <rPr>
        <sz val="11"/>
        <color theme="1"/>
        <rFont val="Aptos Narrow"/>
        <family val="2"/>
        <scheme val="minor"/>
      </rPr>
      <t xml:space="preserve">. For a given dimension or grouping, you might do: </t>
    </r>
    <r>
      <rPr>
        <sz val="10"/>
        <color theme="1"/>
        <rFont val="Arial Unicode MS"/>
      </rPr>
      <t>SUM(order_value * attribution_pct) / SUM(order_value) * 100</t>
    </r>
    <r>
      <rPr>
        <sz val="11"/>
        <color theme="1"/>
        <rFont val="Aptos Narrow"/>
        <family val="2"/>
        <scheme val="minor"/>
      </rPr>
      <t>.</t>
    </r>
  </si>
  <si>
    <t>Attributed Outcome Customer Value Change £</t>
  </si>
  <si>
    <t>(Similar to “Customer Value Change,” but restricted to the fraction attributed to marketing.)</t>
  </si>
  <si>
    <r>
      <t xml:space="preserve">For each relevant account or order, take the “value change” and multiply by the attribution factor. E.g., </t>
    </r>
    <r>
      <rPr>
        <sz val="10"/>
        <color theme="1"/>
        <rFont val="Arial Unicode MS"/>
      </rPr>
      <t>SUM( (new_sov - old_sov) * marketing_attribution_pct )</t>
    </r>
    <r>
      <rPr>
        <sz val="11"/>
        <color theme="1"/>
        <rFont val="Aptos Narrow"/>
        <family val="2"/>
        <scheme val="minor"/>
      </rPr>
      <t xml:space="preserve"> for the relevant set of records.</t>
    </r>
  </si>
  <si>
    <t>Attributed Outcome Customer Value Change Percentage</t>
  </si>
  <si>
    <t>(Ratio of marketing-attributed customer value change to total customer value change.)</t>
  </si>
  <si>
    <r>
      <t>(Attributed Outcome Customer Value Change £ / Total Outcome Customer Value Change) * 100</t>
    </r>
    <r>
      <rPr>
        <sz val="11"/>
        <color theme="1"/>
        <rFont val="Aptos Narrow"/>
        <family val="2"/>
        <scheme val="minor"/>
      </rPr>
      <t>.</t>
    </r>
  </si>
  <si>
    <t>Attributed Outcome Churn</t>
  </si>
  <si>
    <t>“Churn could be at 3 levels… and we apply marketing attribution factor (or logic) to see which portion is attributed to marketing.”</t>
  </si>
  <si>
    <t>If marketing is credited with preventing or partially causing churn, you might track the fraction of churn events or churn amounts “tied” to marketing. The exact logic depends on your attribution model—e.g., if marketing prevented churn, or if a missed marketing touch contributed to churn. This is more specialized and may or may not appear on the Channel/Campaign dashboards unless explicitly needed.</t>
  </si>
  <si>
    <t>Attributed Outcome Churn Percentage</t>
  </si>
  <si>
    <t>(Percentage of total churn that was attributed to marketing, or possibly the share that was prevented by marketing.)</t>
  </si>
  <si>
    <r>
      <t xml:space="preserve">Computed similarly to “Attributed Outcome Churn,” but expressed as a percentage: </t>
    </r>
    <r>
      <rPr>
        <sz val="10"/>
        <color theme="1"/>
        <rFont val="Arial Unicode MS"/>
      </rPr>
      <t>(Attributed Churn / Total Churn) * 100</t>
    </r>
    <r>
      <rPr>
        <sz val="11"/>
        <color theme="1"/>
        <rFont val="Aptos Narrow"/>
        <family val="2"/>
        <scheme val="minor"/>
      </rPr>
      <t>, or “churn avoided.” Not explicitly listed in Channel/Campaign/Tech dashboards in the PPT, so typically remains in the “outcomes” or “audience” views.</t>
    </r>
  </si>
  <si>
    <t>Marketing Activity Channel group</t>
  </si>
  <si>
    <t>Web, Social, Outbound Comms</t>
  </si>
  <si>
    <t>“Web, Social, Outbound Comms,” etc.</t>
  </si>
  <si>
    <r>
      <t xml:space="preserve">A </t>
    </r>
    <r>
      <rPr>
        <b/>
        <sz val="11"/>
        <color theme="1"/>
        <rFont val="Aptos Narrow"/>
        <family val="2"/>
        <scheme val="minor"/>
      </rPr>
      <t>high-level grouping</t>
    </r>
    <r>
      <rPr>
        <sz val="11"/>
        <color theme="1"/>
        <rFont val="Aptos Narrow"/>
        <family val="2"/>
        <scheme val="minor"/>
      </rPr>
      <t xml:space="preserve"> of channels used for marketing. Often stored in a dimension table or a field like </t>
    </r>
    <r>
      <rPr>
        <sz val="10"/>
        <color theme="1"/>
        <rFont val="Arial Unicode MS"/>
      </rPr>
      <t>channel_group</t>
    </r>
    <r>
      <rPr>
        <sz val="11"/>
        <color theme="1"/>
        <rFont val="Aptos Narrow"/>
        <family val="2"/>
        <scheme val="minor"/>
      </rPr>
      <t xml:space="preserve"> (e.g., </t>
    </r>
    <r>
      <rPr>
        <sz val="10"/>
        <color theme="1"/>
        <rFont val="Arial Unicode MS"/>
      </rPr>
      <t>'web'</t>
    </r>
    <r>
      <rPr>
        <sz val="11"/>
        <color theme="1"/>
        <rFont val="Aptos Narrow"/>
        <family val="2"/>
        <scheme val="minor"/>
      </rPr>
      <t xml:space="preserve">, </t>
    </r>
    <r>
      <rPr>
        <sz val="10"/>
        <color theme="1"/>
        <rFont val="Arial Unicode MS"/>
      </rPr>
      <t>'social'</t>
    </r>
    <r>
      <rPr>
        <sz val="11"/>
        <color theme="1"/>
        <rFont val="Aptos Narrow"/>
        <family val="2"/>
        <scheme val="minor"/>
      </rPr>
      <t xml:space="preserve">, </t>
    </r>
    <r>
      <rPr>
        <sz val="10"/>
        <color theme="1"/>
        <rFont val="Arial Unicode MS"/>
      </rPr>
      <t>'outbound'</t>
    </r>
    <r>
      <rPr>
        <sz val="11"/>
        <color theme="1"/>
        <rFont val="Aptos Narrow"/>
        <family val="2"/>
        <scheme val="minor"/>
      </rPr>
      <t>). Widely used across multiple dashboards as a dimension or filter.</t>
    </r>
  </si>
  <si>
    <t>Marketing Activity Channel</t>
  </si>
  <si>
    <r>
      <t xml:space="preserve">Product Outcomes, </t>
    </r>
    <r>
      <rPr>
        <sz val="11"/>
        <color theme="8"/>
        <rFont val="Aptos Narrow"/>
        <family val="2"/>
        <scheme val="minor"/>
      </rPr>
      <t>Marketing Impact,</t>
    </r>
    <r>
      <rPr>
        <sz val="11"/>
        <color theme="5"/>
        <rFont val="Aptos Narrow"/>
        <family val="2"/>
        <scheme val="minor"/>
      </rPr>
      <t xml:space="preserve"> </t>
    </r>
    <r>
      <rPr>
        <sz val="11"/>
        <color theme="9"/>
        <rFont val="Aptos Narrow"/>
        <family val="2"/>
        <scheme val="minor"/>
      </rPr>
      <t>Channel Impact</t>
    </r>
    <r>
      <rPr>
        <sz val="11"/>
        <color theme="5"/>
        <rFont val="Aptos Narrow"/>
        <family val="2"/>
        <scheme val="minor"/>
      </rPr>
      <t xml:space="preserve">, </t>
    </r>
    <r>
      <rPr>
        <sz val="11"/>
        <color rgb="FFC00000"/>
        <rFont val="Aptos Narrow"/>
        <family val="2"/>
        <scheme val="minor"/>
      </rPr>
      <t>Campaign Impact</t>
    </r>
    <r>
      <rPr>
        <sz val="11"/>
        <color theme="5"/>
        <rFont val="Aptos Narrow"/>
        <family val="2"/>
        <scheme val="minor"/>
      </rPr>
      <t xml:space="preserve">, </t>
    </r>
    <r>
      <rPr>
        <sz val="11"/>
        <color theme="5" tint="-0.499984740745262"/>
        <rFont val="Aptos Narrow"/>
        <family val="2"/>
        <scheme val="minor"/>
      </rPr>
      <t>Marketing Technology Impact</t>
    </r>
  </si>
  <si>
    <t>(A more granular channel—e.g., Email, Paid Search, LinkedIn Ads, etc.)</t>
  </si>
  <si>
    <r>
      <t xml:space="preserve">A detailed </t>
    </r>
    <r>
      <rPr>
        <b/>
        <sz val="11"/>
        <color theme="1"/>
        <rFont val="Aptos Narrow"/>
        <family val="2"/>
        <scheme val="minor"/>
      </rPr>
      <t>channel</t>
    </r>
    <r>
      <rPr>
        <sz val="11"/>
        <color theme="1"/>
        <rFont val="Aptos Narrow"/>
        <family val="2"/>
        <scheme val="minor"/>
      </rPr>
      <t xml:space="preserve"> field in your campaign/activity logs, e.g., </t>
    </r>
    <r>
      <rPr>
        <sz val="10"/>
        <color theme="1"/>
        <rFont val="Arial Unicode MS"/>
      </rPr>
      <t>marketing_channel = 'email'</t>
    </r>
    <r>
      <rPr>
        <sz val="11"/>
        <color theme="1"/>
        <rFont val="Aptos Narrow"/>
        <family val="2"/>
        <scheme val="minor"/>
      </rPr>
      <t>. In your dashboards, you might roll this up into “channel group.”</t>
    </r>
  </si>
  <si>
    <t>Outcome Product Family</t>
  </si>
  <si>
    <r>
      <rPr>
        <sz val="11"/>
        <color theme="4"/>
        <rFont val="Aptos Narrow"/>
        <family val="2"/>
        <scheme val="minor"/>
      </rPr>
      <t>All Outcomes</t>
    </r>
    <r>
      <rPr>
        <sz val="11"/>
        <color theme="1"/>
        <rFont val="Aptos Narrow"/>
        <family val="2"/>
        <scheme val="minor"/>
      </rPr>
      <t xml:space="preserve">, </t>
    </r>
    <r>
      <rPr>
        <sz val="11"/>
        <color theme="5"/>
        <rFont val="Aptos Narrow"/>
        <family val="2"/>
        <scheme val="minor"/>
      </rPr>
      <t>Product Outcomes</t>
    </r>
    <r>
      <rPr>
        <sz val="11"/>
        <color theme="1"/>
        <rFont val="Aptos Narrow"/>
        <family val="2"/>
        <scheme val="minor"/>
      </rPr>
      <t>,</t>
    </r>
    <r>
      <rPr>
        <sz val="11"/>
        <color theme="9"/>
        <rFont val="Aptos Narrow"/>
        <family val="2"/>
        <scheme val="minor"/>
      </rPr>
      <t>Channel Impact</t>
    </r>
  </si>
  <si>
    <t>(Groups outcome products into families—e.g., Mobile, Broadband, Security, etc.)</t>
  </si>
  <si>
    <r>
      <t xml:space="preserve">A </t>
    </r>
    <r>
      <rPr>
        <b/>
        <sz val="11"/>
        <color theme="1"/>
        <rFont val="Aptos Narrow"/>
        <family val="2"/>
        <scheme val="minor"/>
      </rPr>
      <t>categorical</t>
    </r>
    <r>
      <rPr>
        <sz val="11"/>
        <color theme="1"/>
        <rFont val="Aptos Narrow"/>
        <family val="2"/>
        <scheme val="minor"/>
      </rPr>
      <t xml:space="preserve"> or </t>
    </r>
    <r>
      <rPr>
        <b/>
        <sz val="11"/>
        <color theme="1"/>
        <rFont val="Aptos Narrow"/>
        <family val="2"/>
        <scheme val="minor"/>
      </rPr>
      <t>lookup</t>
    </r>
    <r>
      <rPr>
        <sz val="11"/>
        <color theme="1"/>
        <rFont val="Aptos Narrow"/>
        <family val="2"/>
        <scheme val="minor"/>
      </rPr>
      <t xml:space="preserve"> field that classifies products. Typically in a product dimension table: </t>
    </r>
    <r>
      <rPr>
        <sz val="10"/>
        <color theme="1"/>
        <rFont val="Arial Unicode MS"/>
      </rPr>
      <t>product_family_id</t>
    </r>
    <r>
      <rPr>
        <sz val="11"/>
        <color theme="1"/>
        <rFont val="Aptos Narrow"/>
        <family val="2"/>
        <scheme val="minor"/>
      </rPr>
      <t xml:space="preserve"> → </t>
    </r>
    <r>
      <rPr>
        <sz val="10"/>
        <color theme="1"/>
        <rFont val="Arial Unicode MS"/>
      </rPr>
      <t>'Mobile'</t>
    </r>
    <r>
      <rPr>
        <sz val="11"/>
        <color theme="1"/>
        <rFont val="Aptos Narrow"/>
        <family val="2"/>
        <scheme val="minor"/>
      </rPr>
      <t xml:space="preserve">, </t>
    </r>
    <r>
      <rPr>
        <sz val="10"/>
        <color theme="1"/>
        <rFont val="Arial Unicode MS"/>
      </rPr>
      <t>'Hosting'</t>
    </r>
    <r>
      <rPr>
        <sz val="11"/>
        <color theme="1"/>
        <rFont val="Aptos Narrow"/>
        <family val="2"/>
        <scheme val="minor"/>
      </rPr>
      <t xml:space="preserve">, </t>
    </r>
    <r>
      <rPr>
        <sz val="10"/>
        <color theme="1"/>
        <rFont val="Arial Unicode MS"/>
      </rPr>
      <t>'Security'</t>
    </r>
    <r>
      <rPr>
        <sz val="11"/>
        <color theme="1"/>
        <rFont val="Aptos Narrow"/>
        <family val="2"/>
        <scheme val="minor"/>
      </rPr>
      <t>, etc. Seen in multiple “outcome-focused” dashboards and also in Channel Impact (the PPT specifically references “Product Families” as a dimension).</t>
    </r>
  </si>
  <si>
    <t>Outcome Product</t>
  </si>
  <si>
    <r>
      <t xml:space="preserve">Product Outcomes, </t>
    </r>
    <r>
      <rPr>
        <sz val="11"/>
        <color theme="6"/>
        <rFont val="Aptos Narrow"/>
        <family val="2"/>
        <scheme val="minor"/>
      </rPr>
      <t>Specific Company Analysis</t>
    </r>
    <r>
      <rPr>
        <sz val="11"/>
        <color theme="5"/>
        <rFont val="Aptos Narrow"/>
        <family val="2"/>
        <scheme val="minor"/>
      </rPr>
      <t xml:space="preserve">, </t>
    </r>
    <r>
      <rPr>
        <sz val="11"/>
        <color theme="9"/>
        <rFont val="Aptos Narrow"/>
        <family val="2"/>
        <scheme val="minor"/>
      </rPr>
      <t>Channel Impact</t>
    </r>
    <r>
      <rPr>
        <sz val="11"/>
        <color theme="5"/>
        <rFont val="Aptos Narrow"/>
        <family val="2"/>
        <scheme val="minor"/>
      </rPr>
      <t xml:space="preserve">, </t>
    </r>
    <r>
      <rPr>
        <sz val="11"/>
        <color rgb="FFC00000"/>
        <rFont val="Aptos Narrow"/>
        <family val="2"/>
        <scheme val="minor"/>
      </rPr>
      <t>Campaign Impact</t>
    </r>
  </si>
  <si>
    <t>(The specific product sold, renewed, or churned.)</t>
  </si>
  <si>
    <r>
      <t xml:space="preserve">Typically references the </t>
    </r>
    <r>
      <rPr>
        <b/>
        <sz val="11"/>
        <color theme="1"/>
        <rFont val="Aptos Narrow"/>
        <family val="2"/>
        <scheme val="minor"/>
      </rPr>
      <t>exact product</t>
    </r>
    <r>
      <rPr>
        <sz val="11"/>
        <color theme="1"/>
        <rFont val="Aptos Narrow"/>
        <family val="2"/>
        <scheme val="minor"/>
      </rPr>
      <t xml:space="preserve"> in the outcome. E.g., a field </t>
    </r>
    <r>
      <rPr>
        <sz val="10"/>
        <color theme="1"/>
        <rFont val="Arial Unicode MS"/>
      </rPr>
      <t>outcome_product_id</t>
    </r>
    <r>
      <rPr>
        <sz val="11"/>
        <color theme="1"/>
        <rFont val="Aptos Narrow"/>
        <family val="2"/>
        <scheme val="minor"/>
      </rPr>
      <t xml:space="preserve"> or </t>
    </r>
    <r>
      <rPr>
        <sz val="10"/>
        <color theme="1"/>
        <rFont val="Arial Unicode MS"/>
      </rPr>
      <t>order_product_code</t>
    </r>
    <r>
      <rPr>
        <sz val="11"/>
        <color theme="1"/>
        <rFont val="Aptos Narrow"/>
        <family val="2"/>
        <scheme val="minor"/>
      </rPr>
      <t>. Displayed in product-level dashboards, or in the “outcome products” dimension for Channel/Campaign Impact.</t>
    </r>
  </si>
  <si>
    <t>Campaign Product Family</t>
  </si>
  <si>
    <r>
      <t xml:space="preserve">Marketing Impact, </t>
    </r>
    <r>
      <rPr>
        <sz val="11"/>
        <color rgb="FFC00000"/>
        <rFont val="Aptos Narrow"/>
        <family val="2"/>
        <scheme val="minor"/>
      </rPr>
      <t>Channel Impact</t>
    </r>
  </si>
  <si>
    <t>(Indicates which product family the campaign is targeting or associated with—e.g., a “Mobile” campaign.)</t>
  </si>
  <si>
    <r>
      <t xml:space="preserve">A </t>
    </r>
    <r>
      <rPr>
        <b/>
        <sz val="11"/>
        <color theme="1"/>
        <rFont val="Aptos Narrow"/>
        <family val="2"/>
        <scheme val="minor"/>
      </rPr>
      <t>lookup</t>
    </r>
    <r>
      <rPr>
        <sz val="11"/>
        <color theme="1"/>
        <rFont val="Aptos Narrow"/>
        <family val="2"/>
        <scheme val="minor"/>
      </rPr>
      <t xml:space="preserve"> from the campaign record to the targeted product family. E.g., </t>
    </r>
    <r>
      <rPr>
        <sz val="10"/>
        <color theme="1"/>
        <rFont val="Arial Unicode MS"/>
      </rPr>
      <t>campaign_target_product_family_id</t>
    </r>
    <r>
      <rPr>
        <sz val="11"/>
        <color theme="1"/>
        <rFont val="Aptos Narrow"/>
        <family val="2"/>
        <scheme val="minor"/>
      </rPr>
      <t xml:space="preserve"> → </t>
    </r>
    <r>
      <rPr>
        <sz val="10"/>
        <color theme="1"/>
        <rFont val="Arial Unicode MS"/>
      </rPr>
      <t>'Mobile'</t>
    </r>
    <r>
      <rPr>
        <sz val="11"/>
        <color theme="1"/>
        <rFont val="Aptos Narrow"/>
        <family val="2"/>
        <scheme val="minor"/>
      </rPr>
      <t>. Explicitly in Marketing Impact and Channel Impact; can also be relevant in Campaign Impact or Tech Impact if you want to see the product families each campaign aims at.</t>
    </r>
  </si>
  <si>
    <t>Transactions Channel</t>
  </si>
  <si>
    <r>
      <rPr>
        <sz val="11"/>
        <color theme="4"/>
        <rFont val="Aptos Narrow"/>
        <family val="2"/>
        <scheme val="minor"/>
      </rPr>
      <t>All Outcomes</t>
    </r>
    <r>
      <rPr>
        <sz val="11"/>
        <color theme="1"/>
        <rFont val="Aptos Narrow"/>
        <family val="2"/>
        <scheme val="minor"/>
      </rPr>
      <t xml:space="preserve">, </t>
    </r>
    <r>
      <rPr>
        <sz val="11"/>
        <color theme="5"/>
        <rFont val="Aptos Narrow"/>
        <family val="2"/>
        <scheme val="minor"/>
      </rPr>
      <t>Product Outcomes</t>
    </r>
  </si>
  <si>
    <t>How did they transact the order</t>
  </si>
  <si>
    <t>“How did they transact the order?” (online, phone, in-person, etc.)</t>
  </si>
  <si>
    <r>
      <t xml:space="preserve">A </t>
    </r>
    <r>
      <rPr>
        <b/>
        <sz val="11"/>
        <color theme="1"/>
        <rFont val="Aptos Narrow"/>
        <family val="2"/>
        <scheme val="minor"/>
      </rPr>
      <t>field</t>
    </r>
    <r>
      <rPr>
        <sz val="11"/>
        <color theme="1"/>
        <rFont val="Aptos Narrow"/>
        <family val="2"/>
        <scheme val="minor"/>
      </rPr>
      <t xml:space="preserve"> in the order data indicating the </t>
    </r>
    <r>
      <rPr>
        <b/>
        <sz val="11"/>
        <color theme="1"/>
        <rFont val="Aptos Narrow"/>
        <family val="2"/>
        <scheme val="minor"/>
      </rPr>
      <t>fulfillment/purchase channel</t>
    </r>
    <r>
      <rPr>
        <sz val="11"/>
        <color theme="1"/>
        <rFont val="Aptos Narrow"/>
        <family val="2"/>
        <scheme val="minor"/>
      </rPr>
      <t xml:space="preserve">. Often called something like </t>
    </r>
    <r>
      <rPr>
        <sz val="10"/>
        <color theme="1"/>
        <rFont val="Arial Unicode MS"/>
      </rPr>
      <t>transaction_channel</t>
    </r>
    <r>
      <rPr>
        <sz val="11"/>
        <color theme="1"/>
        <rFont val="Aptos Narrow"/>
        <family val="2"/>
        <scheme val="minor"/>
      </rPr>
      <t>. The PPT references “transactions channel” especially in outcome-focused dashboards.</t>
    </r>
  </si>
  <si>
    <t>Acquisition, Resign, Cross-Sell</t>
  </si>
  <si>
    <t>“Acquisition, Resign, Cross-Sell.”</t>
  </si>
  <si>
    <r>
      <t xml:space="preserve">A </t>
    </r>
    <r>
      <rPr>
        <b/>
        <sz val="11"/>
        <color theme="1"/>
        <rFont val="Aptos Narrow"/>
        <family val="2"/>
        <scheme val="minor"/>
      </rPr>
      <t>categorical</t>
    </r>
    <r>
      <rPr>
        <sz val="11"/>
        <color theme="1"/>
        <rFont val="Aptos Narrow"/>
        <family val="2"/>
        <scheme val="minor"/>
      </rPr>
      <t xml:space="preserve"> field describing the type of outcome event. E.g., </t>
    </r>
    <r>
      <rPr>
        <sz val="10"/>
        <color theme="1"/>
        <rFont val="Arial Unicode MS"/>
      </rPr>
      <t>'acquisition'</t>
    </r>
    <r>
      <rPr>
        <sz val="11"/>
        <color theme="1"/>
        <rFont val="Aptos Narrow"/>
        <family val="2"/>
        <scheme val="minor"/>
      </rPr>
      <t xml:space="preserve">, </t>
    </r>
    <r>
      <rPr>
        <sz val="10"/>
        <color theme="1"/>
        <rFont val="Arial Unicode MS"/>
      </rPr>
      <t>'resign'</t>
    </r>
    <r>
      <rPr>
        <sz val="11"/>
        <color theme="1"/>
        <rFont val="Aptos Narrow"/>
        <family val="2"/>
        <scheme val="minor"/>
      </rPr>
      <t xml:space="preserve">, </t>
    </r>
    <r>
      <rPr>
        <sz val="10"/>
        <color theme="1"/>
        <rFont val="Arial Unicode MS"/>
      </rPr>
      <t>'cross_sell'</t>
    </r>
    <r>
      <rPr>
        <sz val="11"/>
        <color theme="1"/>
        <rFont val="Aptos Narrow"/>
        <family val="2"/>
        <scheme val="minor"/>
      </rPr>
      <t xml:space="preserve">. Typically stored in </t>
    </r>
    <r>
      <rPr>
        <sz val="10"/>
        <color theme="1"/>
        <rFont val="Arial Unicode MS"/>
      </rPr>
      <t>outcome_type</t>
    </r>
    <r>
      <rPr>
        <sz val="11"/>
        <color theme="1"/>
        <rFont val="Aptos Narrow"/>
        <family val="2"/>
        <scheme val="minor"/>
      </rPr>
      <t>.</t>
    </r>
  </si>
  <si>
    <t>Outcome Intentionality - Product</t>
  </si>
  <si>
    <t>*Did outcome product match marketing target product</t>
  </si>
  <si>
    <t>“Did the outcome product match the marketing target product?”</t>
  </si>
  <si>
    <r>
      <t xml:space="preserve">A boolean or categorical field indicating if the </t>
    </r>
    <r>
      <rPr>
        <b/>
        <sz val="11"/>
        <color theme="1"/>
        <rFont val="Aptos Narrow"/>
        <family val="2"/>
        <scheme val="minor"/>
      </rPr>
      <t>actual</t>
    </r>
    <r>
      <rPr>
        <sz val="11"/>
        <color theme="1"/>
        <rFont val="Aptos Narrow"/>
        <family val="2"/>
        <scheme val="minor"/>
      </rPr>
      <t xml:space="preserve"> product purchased (outcome) aligns with the </t>
    </r>
    <r>
      <rPr>
        <b/>
        <sz val="11"/>
        <color theme="1"/>
        <rFont val="Aptos Narrow"/>
        <family val="2"/>
        <scheme val="minor"/>
      </rPr>
      <t>intended</t>
    </r>
    <r>
      <rPr>
        <sz val="11"/>
        <color theme="1"/>
        <rFont val="Aptos Narrow"/>
        <family val="2"/>
        <scheme val="minor"/>
      </rPr>
      <t xml:space="preserve"> product from the campaign. E.g.: </t>
    </r>
    <r>
      <rPr>
        <sz val="10"/>
        <color theme="1"/>
        <rFont val="Arial Unicode MS"/>
      </rPr>
      <t>outcome_product_id == campaign_target_product_id</t>
    </r>
    <r>
      <rPr>
        <sz val="11"/>
        <color theme="1"/>
        <rFont val="Aptos Narrow"/>
        <family val="2"/>
        <scheme val="minor"/>
      </rPr>
      <t>.</t>
    </r>
  </si>
  <si>
    <t>Outcome Intentionality - Outcome Type</t>
  </si>
  <si>
    <t>(Checks if the type of outcome matched the intended outcome type—e.g., an Acquisition campaign yields an Acquisition outcome.)</t>
  </si>
  <si>
    <r>
      <t xml:space="preserve">Another boolean or categorical field indicating if the </t>
    </r>
    <r>
      <rPr>
        <b/>
        <sz val="11"/>
        <color theme="1"/>
        <rFont val="Aptos Narrow"/>
        <family val="2"/>
        <scheme val="minor"/>
      </rPr>
      <t>outcome type</t>
    </r>
    <r>
      <rPr>
        <sz val="11"/>
        <color theme="1"/>
        <rFont val="Aptos Narrow"/>
        <family val="2"/>
        <scheme val="minor"/>
      </rPr>
      <t xml:space="preserve"> (e.g., cross-sell) matches the </t>
    </r>
    <r>
      <rPr>
        <b/>
        <sz val="11"/>
        <color theme="1"/>
        <rFont val="Aptos Narrow"/>
        <family val="2"/>
        <scheme val="minor"/>
      </rPr>
      <t>campaign’s intended</t>
    </r>
    <r>
      <rPr>
        <sz val="11"/>
        <color theme="1"/>
        <rFont val="Aptos Narrow"/>
        <family val="2"/>
        <scheme val="minor"/>
      </rPr>
      <t xml:space="preserve"> type. E.g.: </t>
    </r>
    <r>
      <rPr>
        <sz val="10"/>
        <color theme="1"/>
        <rFont val="Arial Unicode MS"/>
      </rPr>
      <t>IF campaign_objective = 'Cross-sell' AND outcome_type = 'cross_sell' THEN 'Intentional' ELSE 'Not Intentional'</t>
    </r>
    <r>
      <rPr>
        <sz val="11"/>
        <color theme="1"/>
        <rFont val="Aptos Narrow"/>
        <family val="2"/>
        <scheme val="minor"/>
      </rPr>
      <t>.</t>
    </r>
  </si>
  <si>
    <t>Number of Campaigns</t>
  </si>
  <si>
    <r>
      <t xml:space="preserve">Product Outcomes, </t>
    </r>
    <r>
      <rPr>
        <sz val="11"/>
        <color theme="8"/>
        <rFont val="Aptos Narrow"/>
        <family val="2"/>
        <scheme val="minor"/>
      </rPr>
      <t>Marketing Impact</t>
    </r>
    <r>
      <rPr>
        <sz val="11"/>
        <color theme="9"/>
        <rFont val="Aptos Narrow"/>
        <family val="2"/>
        <scheme val="minor"/>
      </rPr>
      <t>, Channel Impact,</t>
    </r>
    <r>
      <rPr>
        <sz val="11"/>
        <color theme="5"/>
        <rFont val="Aptos Narrow"/>
        <family val="2"/>
        <scheme val="minor"/>
      </rPr>
      <t xml:space="preserve"> </t>
    </r>
    <r>
      <rPr>
        <sz val="11"/>
        <color theme="5" tint="-0.499984740745262"/>
        <rFont val="Aptos Narrow"/>
        <family val="2"/>
        <scheme val="minor"/>
      </rPr>
      <t>Marketing Technology Impact</t>
    </r>
  </si>
  <si>
    <t>(A count of how many distinct campaigns were run or influenced the selected outcomes/timeframe.)</t>
  </si>
  <si>
    <r>
      <t xml:space="preserve">Computed by counting distinct </t>
    </r>
    <r>
      <rPr>
        <sz val="10"/>
        <color theme="1"/>
        <rFont val="Arial Unicode MS"/>
      </rPr>
      <t>campaign_id</t>
    </r>
    <r>
      <rPr>
        <sz val="11"/>
        <color theme="1"/>
        <rFont val="Aptos Narrow"/>
        <family val="2"/>
        <scheme val="minor"/>
      </rPr>
      <t xml:space="preserve"> across all relevant records. E.g.: </t>
    </r>
    <r>
      <rPr>
        <sz val="10"/>
        <color theme="1"/>
        <rFont val="Arial Unicode MS"/>
      </rPr>
      <t>COUNT(DISTINCT campaign_id)</t>
    </r>
    <r>
      <rPr>
        <sz val="11"/>
        <color theme="1"/>
        <rFont val="Aptos Narrow"/>
        <family val="2"/>
        <scheme val="minor"/>
      </rPr>
      <t>. PPT explicitly mentions “# of campaigns run” in Product Outcomes, Marketing Impact, Channel Impact, and Marketing Technology dashboards.</t>
    </r>
  </si>
  <si>
    <t>No. Campaigns</t>
  </si>
  <si>
    <r>
      <t xml:space="preserve">Product Outcomes, </t>
    </r>
    <r>
      <rPr>
        <sz val="11"/>
        <color theme="6"/>
        <rFont val="Aptos Narrow"/>
        <family val="2"/>
        <scheme val="minor"/>
      </rPr>
      <t>Specific Company Analysis</t>
    </r>
    <r>
      <rPr>
        <sz val="11"/>
        <color theme="5"/>
        <rFont val="Aptos Narrow"/>
        <family val="2"/>
        <scheme val="minor"/>
      </rPr>
      <t xml:space="preserve">, </t>
    </r>
    <r>
      <rPr>
        <sz val="11"/>
        <color theme="7"/>
        <rFont val="Aptos Narrow"/>
        <family val="2"/>
        <scheme val="minor"/>
      </rPr>
      <t>Audience Analysis,</t>
    </r>
    <r>
      <rPr>
        <sz val="11"/>
        <color theme="8"/>
        <rFont val="Aptos Narrow"/>
        <family val="2"/>
        <scheme val="minor"/>
      </rPr>
      <t>Marketing Impact</t>
    </r>
    <r>
      <rPr>
        <sz val="11"/>
        <color theme="7"/>
        <rFont val="Aptos Narrow"/>
        <family val="2"/>
        <scheme val="minor"/>
      </rPr>
      <t>,</t>
    </r>
    <r>
      <rPr>
        <sz val="11"/>
        <color theme="9"/>
        <rFont val="Aptos Narrow"/>
        <family val="2"/>
        <scheme val="minor"/>
      </rPr>
      <t>Channel Impact</t>
    </r>
    <r>
      <rPr>
        <sz val="11"/>
        <color rgb="FFC00000"/>
        <rFont val="Aptos Narrow"/>
        <family val="2"/>
        <scheme val="minor"/>
      </rPr>
      <t>,Campaign Impact,</t>
    </r>
    <r>
      <rPr>
        <sz val="11"/>
        <color theme="5"/>
        <rFont val="Aptos Narrow"/>
        <family val="2"/>
        <scheme val="minor"/>
      </rPr>
      <t xml:space="preserve"> </t>
    </r>
    <r>
      <rPr>
        <sz val="11"/>
        <color theme="5" tint="-0.499984740745262"/>
        <rFont val="Aptos Narrow"/>
        <family val="2"/>
        <scheme val="minor"/>
      </rPr>
      <t>Marketing Technology Impact</t>
    </r>
  </si>
  <si>
    <t>(The list of or reference to campaigns that ran or influenced a period, product, or account.)</t>
  </si>
  <si>
    <r>
      <t xml:space="preserve">References a </t>
    </r>
    <r>
      <rPr>
        <b/>
        <sz val="11"/>
        <color theme="1"/>
        <rFont val="Aptos Narrow"/>
        <family val="2"/>
        <scheme val="minor"/>
      </rPr>
      <t>campaign dimension</t>
    </r>
    <r>
      <rPr>
        <sz val="11"/>
        <color theme="1"/>
        <rFont val="Aptos Narrow"/>
        <family val="2"/>
        <scheme val="minor"/>
      </rPr>
      <t xml:space="preserve"> or table. Used widely across the PPT wherever we want to display or filter by the campaigns that influenced an outcome. E.g., might store them as </t>
    </r>
    <r>
      <rPr>
        <sz val="10"/>
        <color theme="1"/>
        <rFont val="Arial Unicode MS"/>
      </rPr>
      <t>campaign_id</t>
    </r>
    <r>
      <rPr>
        <sz val="11"/>
        <color theme="1"/>
        <rFont val="Aptos Narrow"/>
        <family val="2"/>
        <scheme val="minor"/>
      </rPr>
      <t xml:space="preserve"> in your activity logs.</t>
    </r>
  </si>
  <si>
    <t>No. Marketing Assets</t>
  </si>
  <si>
    <r>
      <t xml:space="preserve">Product Outcomes, </t>
    </r>
    <r>
      <rPr>
        <sz val="11"/>
        <color theme="6"/>
        <rFont val="Aptos Narrow"/>
        <family val="2"/>
        <scheme val="minor"/>
      </rPr>
      <t>Specific Company Analysis</t>
    </r>
    <r>
      <rPr>
        <sz val="11"/>
        <color theme="5"/>
        <rFont val="Aptos Narrow"/>
        <family val="2"/>
        <scheme val="minor"/>
      </rPr>
      <t xml:space="preserve">, </t>
    </r>
    <r>
      <rPr>
        <sz val="11"/>
        <color theme="7"/>
        <rFont val="Aptos Narrow"/>
        <family val="2"/>
        <scheme val="minor"/>
      </rPr>
      <t>Audience Analysis,</t>
    </r>
    <r>
      <rPr>
        <sz val="11"/>
        <color theme="9"/>
        <rFont val="Aptos Narrow"/>
        <family val="2"/>
        <scheme val="minor"/>
      </rPr>
      <t>Channel Impact</t>
    </r>
    <r>
      <rPr>
        <sz val="11"/>
        <color theme="5"/>
        <rFont val="Aptos Narrow"/>
        <family val="2"/>
        <scheme val="minor"/>
      </rPr>
      <t xml:space="preserve">, </t>
    </r>
    <r>
      <rPr>
        <sz val="11"/>
        <color rgb="FFC00000"/>
        <rFont val="Aptos Narrow"/>
        <family val="2"/>
        <scheme val="minor"/>
      </rPr>
      <t>Campaign Impact</t>
    </r>
    <r>
      <rPr>
        <sz val="11"/>
        <color theme="5"/>
        <rFont val="Aptos Narrow"/>
        <family val="2"/>
        <scheme val="minor"/>
      </rPr>
      <t xml:space="preserve">, </t>
    </r>
    <r>
      <rPr>
        <sz val="11"/>
        <color theme="5" tint="-0.499984740745262"/>
        <rFont val="Aptos Narrow"/>
        <family val="2"/>
        <scheme val="minor"/>
      </rPr>
      <t>Marketing Technology Impact</t>
    </r>
  </si>
  <si>
    <t>This is a count of the different marketing assets that have been used as part of this campaign. 
Distinct count on Asset ID.</t>
  </si>
  <si>
    <t>(List or dimension of marketing assets used: emails, ads, landing pages, etc.)</t>
  </si>
  <si>
    <r>
      <t xml:space="preserve">A sub-dimension or child of a campaign. Typically stored as </t>
    </r>
    <r>
      <rPr>
        <sz val="10"/>
        <color theme="1"/>
        <rFont val="Arial Unicode MS"/>
      </rPr>
      <t>asset_id</t>
    </r>
    <r>
      <rPr>
        <sz val="11"/>
        <color theme="1"/>
        <rFont val="Aptos Narrow"/>
        <family val="2"/>
        <scheme val="minor"/>
      </rPr>
      <t xml:space="preserve"> or references to creative items in the marketing platform. Multiple dashboards (Channel, Campaign, Tech Impact) mention “assets used” as a dimension or KPI.</t>
    </r>
  </si>
  <si>
    <t>Audience Size - Companies</t>
  </si>
  <si>
    <r>
      <t xml:space="preserve">Audience Analysis, </t>
    </r>
    <r>
      <rPr>
        <sz val="11"/>
        <color theme="9"/>
        <rFont val="Aptos Narrow"/>
        <family val="2"/>
        <scheme val="minor"/>
      </rPr>
      <t>Channel Impact</t>
    </r>
  </si>
  <si>
    <t>Distinct count of the company IDs
We might need a switcher here to move between different company ID references. Or it might be that the audience dictates which is the correct ID to use in this instance.</t>
  </si>
  <si>
    <t>(Number of companies in the audience.)</t>
  </si>
  <si>
    <r>
      <t xml:space="preserve">Often </t>
    </r>
    <r>
      <rPr>
        <sz val="10"/>
        <color theme="1"/>
        <rFont val="Arial Unicode MS"/>
      </rPr>
      <t>COUNT(DISTINCT company_id)</t>
    </r>
    <r>
      <rPr>
        <sz val="11"/>
        <color theme="1"/>
        <rFont val="Aptos Narrow"/>
        <family val="2"/>
        <scheme val="minor"/>
      </rPr>
      <t xml:space="preserve"> for the relevant “audience” definition.</t>
    </r>
  </si>
  <si>
    <t>Audience Size - Individuals</t>
  </si>
  <si>
    <r>
      <rPr>
        <sz val="11"/>
        <color theme="6"/>
        <rFont val="Aptos Narrow"/>
        <family val="2"/>
        <scheme val="minor"/>
      </rPr>
      <t>Specific Company Analysis</t>
    </r>
    <r>
      <rPr>
        <sz val="11"/>
        <color theme="7"/>
        <rFont val="Aptos Narrow"/>
        <family val="2"/>
        <scheme val="minor"/>
      </rPr>
      <t xml:space="preserve">, Audience Analysis, </t>
    </r>
    <r>
      <rPr>
        <sz val="11"/>
        <color theme="9"/>
        <rFont val="Aptos Narrow"/>
        <family val="2"/>
        <scheme val="minor"/>
      </rPr>
      <t>Channel Impact</t>
    </r>
  </si>
  <si>
    <t>Distinct count of person ID</t>
  </si>
  <si>
    <t>(Number of individual contacts in the audience.)</t>
  </si>
  <si>
    <r>
      <t xml:space="preserve">Often </t>
    </r>
    <r>
      <rPr>
        <sz val="10"/>
        <color theme="1"/>
        <rFont val="Arial Unicode MS"/>
      </rPr>
      <t>COUNT(DISTINCT person_id)</t>
    </r>
    <r>
      <rPr>
        <sz val="11"/>
        <color theme="1"/>
        <rFont val="Aptos Narrow"/>
        <family val="2"/>
        <scheme val="minor"/>
      </rPr>
      <t xml:space="preserve"> or </t>
    </r>
    <r>
      <rPr>
        <sz val="10"/>
        <color theme="1"/>
        <rFont val="Arial Unicode MS"/>
      </rPr>
      <t>lead_id</t>
    </r>
    <r>
      <rPr>
        <sz val="11"/>
        <color theme="1"/>
        <rFont val="Aptos Narrow"/>
        <family val="2"/>
        <scheme val="minor"/>
      </rPr>
      <t>.</t>
    </r>
  </si>
  <si>
    <t>Reached - Individuals</t>
  </si>
  <si>
    <r>
      <t xml:space="preserve">Marketing Impact, </t>
    </r>
    <r>
      <rPr>
        <sz val="11"/>
        <color theme="9"/>
        <rFont val="Aptos Narrow"/>
        <family val="2"/>
        <scheme val="minor"/>
      </rPr>
      <t>Channel Impact</t>
    </r>
    <r>
      <rPr>
        <sz val="11"/>
        <color theme="8"/>
        <rFont val="Aptos Narrow"/>
        <family val="2"/>
        <scheme val="minor"/>
      </rPr>
      <t xml:space="preserve">, </t>
    </r>
    <r>
      <rPr>
        <sz val="11"/>
        <color theme="9"/>
        <rFont val="Aptos Narrow"/>
        <family val="2"/>
        <scheme val="minor"/>
      </rPr>
      <t>Campaign Impact,</t>
    </r>
    <r>
      <rPr>
        <sz val="11"/>
        <color theme="8"/>
        <rFont val="Aptos Narrow"/>
        <family val="2"/>
        <scheme val="minor"/>
      </rPr>
      <t xml:space="preserve"> </t>
    </r>
    <r>
      <rPr>
        <sz val="11"/>
        <color theme="5" tint="-0.499984740745262"/>
        <rFont val="Aptos Narrow"/>
        <family val="2"/>
        <scheme val="minor"/>
      </rPr>
      <t>Marketing Technology Impact</t>
    </r>
  </si>
  <si>
    <t xml:space="preserve">Distinct count of Persons ID's Where the person was Reached. 
Reached:
For push marketing activities to a known audience. This is a marketing activity that has a status that is delivered or equivilent. For those we can count the distinct Person ID's
For a pull activity this is the sum of the reached audience for that activity, This would be provided by the source system. i.e. Ad reach.
</t>
  </si>
  <si>
    <t>(Number of individual contacts who actually received or engaged with marketing content.)</t>
  </si>
  <si>
    <r>
      <t xml:space="preserve">Typically </t>
    </r>
    <r>
      <rPr>
        <sz val="10"/>
        <color theme="1"/>
        <rFont val="Arial Unicode MS"/>
      </rPr>
      <t>COUNT(DISTINCT person_id)</t>
    </r>
    <r>
      <rPr>
        <sz val="11"/>
        <color theme="1"/>
        <rFont val="Aptos Narrow"/>
        <family val="2"/>
        <scheme val="minor"/>
      </rPr>
      <t xml:space="preserve"> who had a recorded marketing touch (e.g., email sent, ad impression, event registration). The PPT explicitly calls out “audience reached (companies/individuals)” in these four dashboards.</t>
    </r>
  </si>
  <si>
    <t>Reached - Companies</t>
  </si>
  <si>
    <t>(Number of companies that actually received/engaged with marketing.)</t>
  </si>
  <si>
    <r>
      <t xml:space="preserve">Same as above, but at the company level: </t>
    </r>
    <r>
      <rPr>
        <sz val="10"/>
        <color theme="1"/>
        <rFont val="Arial Unicode MS"/>
      </rPr>
      <t>COUNT(DISTINCT company_id)</t>
    </r>
    <r>
      <rPr>
        <sz val="11"/>
        <color theme="1"/>
        <rFont val="Aptos Narrow"/>
        <family val="2"/>
        <scheme val="minor"/>
      </rPr>
      <t xml:space="preserve"> that had at least one marketing touch.</t>
    </r>
  </si>
  <si>
    <t>% Audience Reached - Companies</t>
  </si>
  <si>
    <r>
      <rPr>
        <sz val="11"/>
        <color theme="6"/>
        <rFont val="Aptos Narrow"/>
        <family val="2"/>
        <scheme val="minor"/>
      </rPr>
      <t>Specific Company Analysis</t>
    </r>
    <r>
      <rPr>
        <sz val="11"/>
        <color theme="7"/>
        <rFont val="Aptos Narrow"/>
        <family val="2"/>
        <scheme val="minor"/>
      </rPr>
      <t>, Audience Analysis</t>
    </r>
  </si>
  <si>
    <t>(Percentage of the total company audience that was reached.)</t>
  </si>
  <si>
    <r>
      <t>(Audience Reached - Companies / Total Audience Companies) * 100</t>
    </r>
    <r>
      <rPr>
        <sz val="11"/>
        <color theme="1"/>
        <rFont val="Aptos Narrow"/>
        <family val="2"/>
        <scheme val="minor"/>
      </rPr>
      <t>.</t>
    </r>
  </si>
  <si>
    <t>% Audience Reached - Individuals</t>
  </si>
  <si>
    <t>(Percentage of the total individual audience that was reached.)</t>
  </si>
  <si>
    <r>
      <t>(Audience Reached - Individuals / Total Audience Individuals) * 100</t>
    </r>
    <r>
      <rPr>
        <sz val="11"/>
        <color theme="1"/>
        <rFont val="Aptos Narrow"/>
        <family val="2"/>
        <scheme val="minor"/>
      </rPr>
      <t>.</t>
    </r>
  </si>
  <si>
    <t>Engaged Companies</t>
  </si>
  <si>
    <t>Marketing Impact</t>
  </si>
  <si>
    <t>(Number of companies that actively engaged—clicked, responded, etc.)</t>
  </si>
  <si>
    <r>
      <t xml:space="preserve">Typically </t>
    </r>
    <r>
      <rPr>
        <sz val="10"/>
        <color theme="1"/>
        <rFont val="Arial Unicode MS"/>
      </rPr>
      <t>COUNT(DISTINCT company_id)</t>
    </r>
    <r>
      <rPr>
        <sz val="11"/>
        <color theme="1"/>
        <rFont val="Aptos Narrow"/>
        <family val="2"/>
        <scheme val="minor"/>
      </rPr>
      <t xml:space="preserve"> with a recorded engagement activity. Derived from logs of email clicks, form fills, event registrations, etc. The PPT mentions “engaged companies” in these four dashboards’ KPIs.</t>
    </r>
  </si>
  <si>
    <t>Engaged Individuals</t>
  </si>
  <si>
    <t>(Number of individual contacts that engaged.)</t>
  </si>
  <si>
    <r>
      <t xml:space="preserve">Same as above, but at the </t>
    </r>
    <r>
      <rPr>
        <b/>
        <sz val="11"/>
        <color theme="1"/>
        <rFont val="Aptos Narrow"/>
        <family val="2"/>
        <scheme val="minor"/>
      </rPr>
      <t>person</t>
    </r>
    <r>
      <rPr>
        <sz val="11"/>
        <color theme="1"/>
        <rFont val="Aptos Narrow"/>
        <family val="2"/>
        <scheme val="minor"/>
      </rPr>
      <t xml:space="preserve"> level: </t>
    </r>
    <r>
      <rPr>
        <sz val="10"/>
        <color theme="1"/>
        <rFont val="Arial Unicode MS"/>
      </rPr>
      <t>COUNT(DISTINCT person_id)</t>
    </r>
    <r>
      <rPr>
        <sz val="11"/>
        <color theme="1"/>
        <rFont val="Aptos Narrow"/>
        <family val="2"/>
        <scheme val="minor"/>
      </rPr>
      <t xml:space="preserve"> with an engagement activity.</t>
    </r>
  </si>
  <si>
    <t>Campaign Spend (Attributed) - Actual</t>
  </si>
  <si>
    <r>
      <rPr>
        <sz val="11"/>
        <color theme="6"/>
        <rFont val="Aptos Narrow"/>
        <family val="2"/>
        <scheme val="minor"/>
      </rPr>
      <t>Specific Company Analysis</t>
    </r>
    <r>
      <rPr>
        <sz val="11"/>
        <color theme="7"/>
        <rFont val="Aptos Narrow"/>
        <family val="2"/>
        <scheme val="minor"/>
      </rPr>
      <t xml:space="preserve">, Audience Analysis, </t>
    </r>
    <r>
      <rPr>
        <sz val="11"/>
        <color theme="8"/>
        <rFont val="Aptos Narrow"/>
        <family val="2"/>
        <scheme val="minor"/>
      </rPr>
      <t>Marketing Impact</t>
    </r>
    <r>
      <rPr>
        <sz val="11"/>
        <color theme="7"/>
        <rFont val="Aptos Narrow"/>
        <family val="2"/>
        <scheme val="minor"/>
      </rPr>
      <t>,</t>
    </r>
    <r>
      <rPr>
        <sz val="11"/>
        <color theme="9"/>
        <rFont val="Aptos Narrow"/>
        <family val="2"/>
        <scheme val="minor"/>
      </rPr>
      <t>Channel Impact</t>
    </r>
    <r>
      <rPr>
        <sz val="11"/>
        <color theme="7"/>
        <rFont val="Aptos Narrow"/>
        <family val="2"/>
        <scheme val="minor"/>
      </rPr>
      <t xml:space="preserve">, </t>
    </r>
    <r>
      <rPr>
        <sz val="11"/>
        <color rgb="FFC00000"/>
        <rFont val="Aptos Narrow"/>
        <family val="2"/>
        <scheme val="minor"/>
      </rPr>
      <t>Campaign Impact</t>
    </r>
    <r>
      <rPr>
        <sz val="11"/>
        <color theme="7"/>
        <rFont val="Aptos Narrow"/>
        <family val="2"/>
        <scheme val="minor"/>
      </rPr>
      <t xml:space="preserve">, </t>
    </r>
    <r>
      <rPr>
        <sz val="11"/>
        <color theme="5" tint="-0.499984740745262"/>
        <rFont val="Aptos Narrow"/>
        <family val="2"/>
        <scheme val="minor"/>
      </rPr>
      <t>Marketing Technology Impact</t>
    </r>
  </si>
  <si>
    <t>(Amount of actual spend attributed to a particular outcome, segment, or account.)</t>
  </si>
  <si>
    <r>
      <t xml:space="preserve">Typically from your marketing spend system, then allocated by an attribution percentage if needed: </t>
    </r>
    <r>
      <rPr>
        <sz val="10"/>
        <color theme="1"/>
        <rFont val="Arial Unicode MS"/>
      </rPr>
      <t>campaign_actual_spend * marketing_attribution_pct</t>
    </r>
    <r>
      <rPr>
        <sz val="11"/>
        <color theme="1"/>
        <rFont val="Aptos Narrow"/>
        <family val="2"/>
        <scheme val="minor"/>
      </rPr>
      <t>. Many PPT dashboards mention “campaign spend (actual/anticipated).”</t>
    </r>
  </si>
  <si>
    <t>Campaign Spend (Attributed) - Planned</t>
  </si>
  <si>
    <t>(Planned or budgeted campaign spend, likewise attributed.)</t>
  </si>
  <si>
    <r>
      <t xml:space="preserve">Similar to the above but uses </t>
    </r>
    <r>
      <rPr>
        <b/>
        <sz val="11"/>
        <color theme="1"/>
        <rFont val="Aptos Narrow"/>
        <family val="2"/>
        <scheme val="minor"/>
      </rPr>
      <t>planned</t>
    </r>
    <r>
      <rPr>
        <sz val="11"/>
        <color theme="1"/>
        <rFont val="Aptos Narrow"/>
        <family val="2"/>
        <scheme val="minor"/>
      </rPr>
      <t xml:space="preserve"> spend data, e.g. </t>
    </r>
    <r>
      <rPr>
        <sz val="10"/>
        <color theme="1"/>
        <rFont val="Arial Unicode MS"/>
      </rPr>
      <t>campaign_planned_spend * marketing_attribution_pct</t>
    </r>
    <r>
      <rPr>
        <sz val="11"/>
        <color theme="1"/>
        <rFont val="Aptos Narrow"/>
        <family val="2"/>
        <scheme val="minor"/>
      </rPr>
      <t>.</t>
    </r>
  </si>
  <si>
    <t>Individuals</t>
  </si>
  <si>
    <t>Specific Company Analysis</t>
  </si>
  <si>
    <t>(List of individuals/contacts for a given company.)</t>
  </si>
  <si>
    <r>
      <t xml:space="preserve">In that dashboard, you often want to see which specific people in the account had marketing touches or outcomes. Could be a table of </t>
    </r>
    <r>
      <rPr>
        <sz val="10"/>
        <color theme="1"/>
        <rFont val="Arial Unicode MS"/>
      </rPr>
      <t>person_id</t>
    </r>
    <r>
      <rPr>
        <sz val="11"/>
        <color theme="1"/>
        <rFont val="Aptos Narrow"/>
        <family val="2"/>
        <scheme val="minor"/>
      </rPr>
      <t xml:space="preserve">, </t>
    </r>
    <r>
      <rPr>
        <sz val="10"/>
        <color theme="1"/>
        <rFont val="Arial Unicode MS"/>
      </rPr>
      <t>name</t>
    </r>
    <r>
      <rPr>
        <sz val="11"/>
        <color theme="1"/>
        <rFont val="Aptos Narrow"/>
        <family val="2"/>
        <scheme val="minor"/>
      </rPr>
      <t>, or a count.</t>
    </r>
  </si>
  <si>
    <t>Marketing Engagement Levels</t>
  </si>
  <si>
    <t>Audience Analysis</t>
  </si>
  <si>
    <t xml:space="preserve">This is grouping the overall engagement of individuals into cohorts.
No Engagement - never any recorded engagement against this individual
Minor Historic Engagement - Low levels of Interactions but non in the last 6 months. (1 -2 per 6 months)
Minor Recent Engagement - Low Levels of Interactions within the last 6 months. (1-2 in last 6 months)
Major Recent Engagement - Multiple meaningful interactions within the last 6 months
Alternatively once we have a scoring model in place then we can cohort based on the score of an individual.
</t>
  </si>
  <si>
    <t>“Groups overall engagement of individuals into cohorts (No Engagement, Minor, Major, etc.). Could also be based on a scoring model.”</t>
  </si>
  <si>
    <r>
      <t xml:space="preserve">A </t>
    </r>
    <r>
      <rPr>
        <b/>
        <sz val="11"/>
        <color theme="1"/>
        <rFont val="Aptos Narrow"/>
        <family val="2"/>
        <scheme val="minor"/>
      </rPr>
      <t>categorical</t>
    </r>
    <r>
      <rPr>
        <sz val="11"/>
        <color theme="1"/>
        <rFont val="Aptos Narrow"/>
        <family val="2"/>
        <scheme val="minor"/>
      </rPr>
      <t xml:space="preserve"> or </t>
    </r>
    <r>
      <rPr>
        <b/>
        <sz val="11"/>
        <color theme="1"/>
        <rFont val="Aptos Narrow"/>
        <family val="2"/>
        <scheme val="minor"/>
      </rPr>
      <t>score-based</t>
    </r>
    <r>
      <rPr>
        <sz val="11"/>
        <color theme="1"/>
        <rFont val="Aptos Narrow"/>
        <family val="2"/>
        <scheme val="minor"/>
      </rPr>
      <t xml:space="preserve"> field that classifies an individual’s engagement. For example, logic like: </t>
    </r>
    <r>
      <rPr>
        <sz val="10"/>
        <color theme="1"/>
        <rFont val="Arial Unicode MS"/>
      </rPr>
      <t>IF last_6mo_interactions ≥ 3 THEN "Major Recent Engagement" ELSE…</t>
    </r>
    <r>
      <rPr>
        <sz val="11"/>
        <color theme="1"/>
        <rFont val="Aptos Narrow"/>
        <family val="2"/>
        <scheme val="minor"/>
      </rPr>
      <t>. Typically computed from marketing activity logs.</t>
    </r>
  </si>
  <si>
    <t>Historic Customer Value</t>
  </si>
  <si>
    <t>Only Relevant at the account level.
This is the Sum total of all Total_SOV.</t>
  </si>
  <si>
    <t>“Only relevant at the account level. This is the sum total of all Total_SOV.”</t>
  </si>
  <si>
    <r>
      <t xml:space="preserve">A </t>
    </r>
    <r>
      <rPr>
        <b/>
        <sz val="11"/>
        <color theme="1"/>
        <rFont val="Aptos Narrow"/>
        <family val="2"/>
        <scheme val="minor"/>
      </rPr>
      <t>summation</t>
    </r>
    <r>
      <rPr>
        <sz val="11"/>
        <color theme="1"/>
        <rFont val="Aptos Narrow"/>
        <family val="2"/>
        <scheme val="minor"/>
      </rPr>
      <t xml:space="preserve"> of total historical SOV for an account, stored or calculated as </t>
    </r>
    <r>
      <rPr>
        <sz val="10"/>
        <color theme="1"/>
        <rFont val="Arial Unicode MS"/>
      </rPr>
      <t>historic_sov</t>
    </r>
    <r>
      <rPr>
        <sz val="11"/>
        <color theme="1"/>
        <rFont val="Aptos Narrow"/>
        <family val="2"/>
        <scheme val="minor"/>
      </rPr>
      <t>.</t>
    </r>
  </si>
  <si>
    <t>Customer Tenure</t>
  </si>
  <si>
    <t>(How long the customer has been with BT—e.g., months or years.)</t>
  </si>
  <si>
    <r>
      <t xml:space="preserve">Could be </t>
    </r>
    <r>
      <rPr>
        <sz val="10"/>
        <color theme="1"/>
        <rFont val="Arial Unicode MS"/>
      </rPr>
      <t>(current_date - customer_start_date)</t>
    </r>
    <r>
      <rPr>
        <sz val="11"/>
        <color theme="1"/>
        <rFont val="Aptos Narrow"/>
        <family val="2"/>
        <scheme val="minor"/>
      </rPr>
      <t xml:space="preserve"> or a banded classification: </t>
    </r>
    <r>
      <rPr>
        <sz val="10"/>
        <color theme="1"/>
        <rFont val="Arial Unicode MS"/>
      </rPr>
      <t>'0-6 months'</t>
    </r>
    <r>
      <rPr>
        <sz val="11"/>
        <color theme="1"/>
        <rFont val="Aptos Narrow"/>
        <family val="2"/>
        <scheme val="minor"/>
      </rPr>
      <t xml:space="preserve">, </t>
    </r>
    <r>
      <rPr>
        <sz val="10"/>
        <color theme="1"/>
        <rFont val="Arial Unicode MS"/>
      </rPr>
      <t>'6-12 months'</t>
    </r>
    <r>
      <rPr>
        <sz val="11"/>
        <color theme="1"/>
        <rFont val="Aptos Narrow"/>
        <family val="2"/>
        <scheme val="minor"/>
      </rPr>
      <t xml:space="preserve">, </t>
    </r>
    <r>
      <rPr>
        <sz val="10"/>
        <color theme="1"/>
        <rFont val="Arial Unicode MS"/>
      </rPr>
      <t>'12+ months'</t>
    </r>
    <r>
      <rPr>
        <sz val="11"/>
        <color theme="1"/>
        <rFont val="Aptos Narrow"/>
        <family val="2"/>
        <scheme val="minor"/>
      </rPr>
      <t>. Typically stored in the account record or derived on the fly.</t>
    </r>
  </si>
  <si>
    <t>Marketing Activity Date</t>
  </si>
  <si>
    <t>(Date on which a particular marketing activity occurred—e.g., email send date, ad launch date, etc.)</t>
  </si>
  <si>
    <r>
      <t xml:space="preserve">A field in the </t>
    </r>
    <r>
      <rPr>
        <b/>
        <sz val="11"/>
        <color theme="1"/>
        <rFont val="Aptos Narrow"/>
        <family val="2"/>
        <scheme val="minor"/>
      </rPr>
      <t>marketing activity logs</t>
    </r>
    <r>
      <rPr>
        <sz val="11"/>
        <color theme="1"/>
        <rFont val="Aptos Narrow"/>
        <family val="2"/>
        <scheme val="minor"/>
      </rPr>
      <t xml:space="preserve">, e.g., </t>
    </r>
    <r>
      <rPr>
        <sz val="10"/>
        <color theme="1"/>
        <rFont val="Arial Unicode MS"/>
      </rPr>
      <t>activity_date</t>
    </r>
    <r>
      <rPr>
        <sz val="11"/>
        <color theme="1"/>
        <rFont val="Aptos Narrow"/>
        <family val="2"/>
        <scheme val="minor"/>
      </rPr>
      <t>. The PPT specifically notes “Marketing Activity Date” as a filter for these dashboards.</t>
    </r>
  </si>
  <si>
    <t>Marketing Technology</t>
  </si>
  <si>
    <t>(Indicates which platform or tool was used, e.g., Marketo, Eloqua, Pardot, etc.)</t>
  </si>
  <si>
    <r>
      <t xml:space="preserve">A </t>
    </r>
    <r>
      <rPr>
        <b/>
        <sz val="11"/>
        <color theme="1"/>
        <rFont val="Aptos Narrow"/>
        <family val="2"/>
        <scheme val="minor"/>
      </rPr>
      <t>categorical</t>
    </r>
    <r>
      <rPr>
        <sz val="11"/>
        <color theme="1"/>
        <rFont val="Aptos Narrow"/>
        <family val="2"/>
        <scheme val="minor"/>
      </rPr>
      <t xml:space="preserve"> field referencing the marketing technology. E.g., </t>
    </r>
    <r>
      <rPr>
        <sz val="10"/>
        <color theme="1"/>
        <rFont val="Arial Unicode MS"/>
      </rPr>
      <t>marketing_tech_id</t>
    </r>
    <r>
      <rPr>
        <sz val="11"/>
        <color theme="1"/>
        <rFont val="Aptos Narrow"/>
        <family val="2"/>
        <scheme val="minor"/>
      </rPr>
      <t xml:space="preserve"> → </t>
    </r>
    <r>
      <rPr>
        <sz val="10"/>
        <color theme="1"/>
        <rFont val="Arial Unicode MS"/>
      </rPr>
      <t>'Marketo'</t>
    </r>
    <r>
      <rPr>
        <sz val="11"/>
        <color theme="1"/>
        <rFont val="Aptos Narrow"/>
        <family val="2"/>
        <scheme val="minor"/>
      </rPr>
      <t>. The PPT explicitly references it for Marketing Impact (to show which tech was used) and Marketing Technology Impact (the main focus).</t>
    </r>
  </si>
  <si>
    <t>Campaign Objective</t>
  </si>
  <si>
    <t>“Welcome, Acquisition, Upsell, Cross-sell, Retention, In-Life, Service, Migration, Out of Contract.”</t>
  </si>
  <si>
    <r>
      <t xml:space="preserve">A </t>
    </r>
    <r>
      <rPr>
        <b/>
        <sz val="11"/>
        <color theme="1"/>
        <rFont val="Aptos Narrow"/>
        <family val="2"/>
        <scheme val="minor"/>
      </rPr>
      <t>categorical</t>
    </r>
    <r>
      <rPr>
        <sz val="11"/>
        <color theme="1"/>
        <rFont val="Aptos Narrow"/>
        <family val="2"/>
        <scheme val="minor"/>
      </rPr>
      <t xml:space="preserve"> field describing the main goal of the campaign. E.g., </t>
    </r>
    <r>
      <rPr>
        <sz val="10"/>
        <color theme="1"/>
        <rFont val="Arial Unicode MS"/>
      </rPr>
      <t>campaign_objective = 'Retention'</t>
    </r>
    <r>
      <rPr>
        <sz val="11"/>
        <color theme="1"/>
        <rFont val="Aptos Narrow"/>
        <family val="2"/>
        <scheme val="minor"/>
      </rPr>
      <t>. All these dashboards can break down or filter by the objective.</t>
    </r>
  </si>
  <si>
    <t>Audience Vertical</t>
  </si>
  <si>
    <r>
      <t xml:space="preserve">Audience Analysis, </t>
    </r>
    <r>
      <rPr>
        <sz val="11"/>
        <color theme="8"/>
        <rFont val="Aptos Narrow"/>
        <family val="2"/>
        <scheme val="minor"/>
      </rPr>
      <t>Marketing Impact</t>
    </r>
    <r>
      <rPr>
        <sz val="11"/>
        <color theme="7"/>
        <rFont val="Aptos Narrow"/>
        <family val="2"/>
        <scheme val="minor"/>
      </rPr>
      <t>,</t>
    </r>
    <r>
      <rPr>
        <sz val="11"/>
        <color theme="9"/>
        <rFont val="Aptos Narrow"/>
        <family val="2"/>
        <scheme val="minor"/>
      </rPr>
      <t>Channel Impact</t>
    </r>
    <r>
      <rPr>
        <sz val="11"/>
        <color theme="7"/>
        <rFont val="Aptos Narrow"/>
        <family val="2"/>
        <scheme val="minor"/>
      </rPr>
      <t xml:space="preserve">, </t>
    </r>
    <r>
      <rPr>
        <sz val="11"/>
        <color rgb="FFC00000"/>
        <rFont val="Aptos Narrow"/>
        <family val="2"/>
        <scheme val="minor"/>
      </rPr>
      <t>Campaign Impact</t>
    </r>
    <r>
      <rPr>
        <sz val="11"/>
        <color theme="7"/>
        <rFont val="Aptos Narrow"/>
        <family val="2"/>
        <scheme val="minor"/>
      </rPr>
      <t xml:space="preserve">, </t>
    </r>
    <r>
      <rPr>
        <sz val="11"/>
        <color theme="5" tint="-0.499984740745262"/>
        <rFont val="Aptos Narrow"/>
        <family val="2"/>
        <scheme val="minor"/>
      </rPr>
      <t>Marketing Technology Impact</t>
    </r>
  </si>
  <si>
    <t>(Industry vertical or market segment, e.g. 'Finance', 'Retail', 'Education', etc.)</t>
  </si>
  <si>
    <r>
      <t xml:space="preserve">A </t>
    </r>
    <r>
      <rPr>
        <b/>
        <sz val="11"/>
        <color theme="1"/>
        <rFont val="Aptos Narrow"/>
        <family val="2"/>
        <scheme val="minor"/>
      </rPr>
      <t>lookup</t>
    </r>
    <r>
      <rPr>
        <sz val="11"/>
        <color theme="1"/>
        <rFont val="Aptos Narrow"/>
        <family val="2"/>
        <scheme val="minor"/>
      </rPr>
      <t xml:space="preserve"> to an industry/vertical classification. Possibly stored as </t>
    </r>
    <r>
      <rPr>
        <sz val="10"/>
        <color theme="1"/>
        <rFont val="Arial Unicode MS"/>
      </rPr>
      <t>audience_vertical</t>
    </r>
    <r>
      <rPr>
        <sz val="11"/>
        <color theme="1"/>
        <rFont val="Aptos Narrow"/>
        <family val="2"/>
        <scheme val="minor"/>
      </rPr>
      <t>. The PPT specifically names “Industry &amp; Vertical” for Audience Analysis, and also “Audience Groupings” for Marketing Impact, so it can appear in other dashboards if you want a breakdown by vertical.</t>
    </r>
  </si>
  <si>
    <t>Audience Industry</t>
  </si>
  <si>
    <t>(Another layer of audience classification, e.g. 'Financial Services', 'Healthcare', etc.)</t>
  </si>
  <si>
    <r>
      <t xml:space="preserve">Similar to “Audience Vertical.” Could be a separate or more detailed field, e.g., </t>
    </r>
    <r>
      <rPr>
        <sz val="10"/>
        <color theme="1"/>
        <rFont val="Arial Unicode MS"/>
      </rPr>
      <t>audience_industry_code</t>
    </r>
    <r>
      <rPr>
        <sz val="11"/>
        <color theme="1"/>
        <rFont val="Aptos Narrow"/>
        <family val="2"/>
        <scheme val="minor"/>
      </rPr>
      <t>.</t>
    </r>
  </si>
  <si>
    <t>Audience Company Size</t>
  </si>
  <si>
    <t>(Breakdown by number of employees, revenue band, etc.)</t>
  </si>
  <si>
    <r>
      <t xml:space="preserve">A </t>
    </r>
    <r>
      <rPr>
        <b/>
        <sz val="11"/>
        <color theme="1"/>
        <rFont val="Aptos Narrow"/>
        <family val="2"/>
        <scheme val="minor"/>
      </rPr>
      <t>categorical</t>
    </r>
    <r>
      <rPr>
        <sz val="11"/>
        <color theme="1"/>
        <rFont val="Aptos Narrow"/>
        <family val="2"/>
        <scheme val="minor"/>
      </rPr>
      <t xml:space="preserve"> or numeric field for company size. E.g. </t>
    </r>
    <r>
      <rPr>
        <sz val="10"/>
        <color theme="1"/>
        <rFont val="Arial Unicode MS"/>
      </rPr>
      <t>'1-50 employees', '51-200', etc.</t>
    </r>
    <r>
      <rPr>
        <sz val="11"/>
        <color theme="1"/>
        <rFont val="Aptos Narrow"/>
        <family val="2"/>
        <scheme val="minor"/>
      </rPr>
      <t xml:space="preserve"> Possibly stored as </t>
    </r>
    <r>
      <rPr>
        <sz val="10"/>
        <color theme="1"/>
        <rFont val="Arial Unicode MS"/>
      </rPr>
      <t>company_size_band</t>
    </r>
    <r>
      <rPr>
        <sz val="11"/>
        <color theme="1"/>
        <rFont val="Aptos Narrow"/>
        <family val="2"/>
        <scheme val="minor"/>
      </rPr>
      <t>. Many dashboards mention “Audience Groupings” that can include company size.</t>
    </r>
  </si>
  <si>
    <t>Identifiable method</t>
  </si>
  <si>
    <t>Comment</t>
  </si>
  <si>
    <t>Interaction Types</t>
  </si>
  <si>
    <t>POC</t>
  </si>
  <si>
    <t>Interaction Data Source</t>
  </si>
  <si>
    <t>GCP Data Availability</t>
  </si>
  <si>
    <t>Paid Digital Ads</t>
  </si>
  <si>
    <t>ATL</t>
  </si>
  <si>
    <t>IP Inferred</t>
  </si>
  <si>
    <t>Pull</t>
  </si>
  <si>
    <t>EssenceMediacom</t>
  </si>
  <si>
    <t>Data source unknown</t>
  </si>
  <si>
    <t>Content Syndication</t>
  </si>
  <si>
    <t>Audience Inferred</t>
  </si>
  <si>
    <t>Web</t>
  </si>
  <si>
    <t>IP Inferred or Better</t>
  </si>
  <si>
    <t>Adobe web/app visits</t>
  </si>
  <si>
    <t>Data sources are knows, exists partially in CCN</t>
  </si>
  <si>
    <t>Above the Line - Non Digital</t>
  </si>
  <si>
    <t>Physical</t>
  </si>
  <si>
    <t>Placeholder For multiple channels</t>
  </si>
  <si>
    <t>Social Posts</t>
  </si>
  <si>
    <t>Social Outbound Messages</t>
  </si>
  <si>
    <t>BTL</t>
  </si>
  <si>
    <t>Known Person</t>
  </si>
  <si>
    <t>Push</t>
  </si>
  <si>
    <t>Virtual Events</t>
  </si>
  <si>
    <t>Self Identified</t>
  </si>
  <si>
    <t>Events</t>
  </si>
  <si>
    <t>F2F Events</t>
  </si>
  <si>
    <t>Webinars</t>
  </si>
  <si>
    <t>Direct Mail</t>
  </si>
  <si>
    <t>Whatsapp</t>
  </si>
  <si>
    <t>RCS</t>
  </si>
  <si>
    <t>Email</t>
  </si>
  <si>
    <t>Marketo email activities</t>
  </si>
  <si>
    <t>Data sources are known, exists in GCP CCN</t>
  </si>
  <si>
    <t>SMS</t>
  </si>
  <si>
    <t>IMI</t>
  </si>
  <si>
    <t>Data does not exist in GCP</t>
  </si>
  <si>
    <t>MMS</t>
  </si>
  <si>
    <t>App Push Notification</t>
  </si>
  <si>
    <t>Telemarketing</t>
  </si>
  <si>
    <t>Conversation</t>
  </si>
  <si>
    <t>NRT</t>
  </si>
  <si>
    <t>Online Chat</t>
  </si>
  <si>
    <t>Self Identified / IP Inferred</t>
  </si>
  <si>
    <t>Salesperson Meetings</t>
  </si>
  <si>
    <t>Sales</t>
  </si>
  <si>
    <t>Salesperson Calls</t>
  </si>
  <si>
    <t>Salesperson Email</t>
  </si>
  <si>
    <t>Inbound Calls</t>
  </si>
  <si>
    <t>Channel Name</t>
  </si>
  <si>
    <t>Interactions Concatenated</t>
  </si>
  <si>
    <t>Column2</t>
  </si>
  <si>
    <t>Column3</t>
  </si>
  <si>
    <t>Column4</t>
  </si>
  <si>
    <t>Column5</t>
  </si>
  <si>
    <t>Column6</t>
  </si>
  <si>
    <t>Viewed</t>
  </si>
  <si>
    <t>Sent</t>
  </si>
  <si>
    <t>Received</t>
  </si>
  <si>
    <t>Clicked</t>
  </si>
  <si>
    <t>Submit Form</t>
  </si>
  <si>
    <t>Bounced</t>
  </si>
  <si>
    <t>Opened</t>
  </si>
  <si>
    <t>Opt-Out</t>
  </si>
  <si>
    <t>Responded</t>
  </si>
  <si>
    <t>Registered</t>
  </si>
  <si>
    <t>Attended</t>
  </si>
  <si>
    <t>Called</t>
  </si>
  <si>
    <t>Not Answered</t>
  </si>
  <si>
    <t>Responsed</t>
  </si>
  <si>
    <t>Initiated</t>
  </si>
  <si>
    <t>Answered</t>
  </si>
  <si>
    <t>Disconnected</t>
  </si>
  <si>
    <t>Read</t>
  </si>
  <si>
    <t>Dialled</t>
  </si>
  <si>
    <t>Engaged</t>
  </si>
  <si>
    <t>Invited</t>
  </si>
  <si>
    <t>Attempted</t>
  </si>
  <si>
    <t>Conversed</t>
  </si>
  <si>
    <t>View on Demand</t>
  </si>
  <si>
    <t>Page View</t>
  </si>
  <si>
    <t>Link Click</t>
  </si>
  <si>
    <t>Watch Video</t>
  </si>
  <si>
    <t>Download</t>
  </si>
  <si>
    <t>Live Chat?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</si>
</sst>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809]* #,##0.00_-;\-[$£-809]* #,##0.00_-;_-[$£-809]* &quot;-&quot;??_-;_-@_-"/>
    <numFmt numFmtId="165" formatCode="[$-409]d\-mmm\-yyyy;@"/>
  </numFmts>
  <fonts count="30">
    <font>
      <sz val="11"/>
      <color theme="1"/>
      <name val="Aptos Narrow"/>
      <family val="2"/>
      <scheme val="minor"/>
    </font>
    <font>
      <b/>
      <sz val="11"/>
      <color theme="1"/>
      <name val="Aptos Narrow"/>
      <family val="2"/>
      <scheme val="minor"/>
    </font>
    <font>
      <sz val="11"/>
      <color rgb="FF242424"/>
      <name val="Times New Roman"/>
      <family val="1"/>
    </font>
    <font>
      <sz val="12"/>
      <color rgb="FF000000"/>
      <name val="Calibri"/>
      <family val="2"/>
    </font>
    <font>
      <sz val="11"/>
      <color theme="4"/>
      <name val="Aptos Narrow"/>
      <family val="2"/>
      <scheme val="minor"/>
    </font>
    <font>
      <sz val="11"/>
      <color theme="5"/>
      <name val="Aptos Narrow"/>
      <family val="2"/>
      <scheme val="minor"/>
    </font>
    <font>
      <sz val="11"/>
      <color theme="6"/>
      <name val="Aptos Narrow"/>
      <family val="2"/>
      <scheme val="minor"/>
    </font>
    <font>
      <sz val="11"/>
      <color theme="7"/>
      <name val="Aptos Narrow"/>
      <family val="2"/>
      <scheme val="minor"/>
    </font>
    <font>
      <sz val="11"/>
      <color rgb="FF000000"/>
      <name val="Aptos Narrow"/>
      <family val="2"/>
      <scheme val="minor"/>
    </font>
    <font>
      <b/>
      <sz val="11"/>
      <color rgb="FF000000"/>
      <name val="Aptos Narrow"/>
      <family val="2"/>
      <scheme val="minor"/>
    </font>
    <font>
      <b/>
      <sz val="11"/>
      <color theme="0" tint="-0.249977111117893"/>
      <name val="Aptos"/>
      <family val="2"/>
    </font>
    <font>
      <sz val="11"/>
      <color theme="0" tint="-0.249977111117893"/>
      <name val="Aptos Narrow"/>
      <family val="2"/>
      <scheme val="minor"/>
    </font>
    <font>
      <sz val="11"/>
      <color theme="0" tint="-0.249977111117893"/>
      <name val="Times New Roman"/>
      <family val="1"/>
    </font>
    <font>
      <sz val="11"/>
      <color theme="8"/>
      <name val="Aptos Narrow"/>
      <family val="2"/>
      <scheme val="minor"/>
    </font>
    <font>
      <sz val="11"/>
      <color theme="9"/>
      <name val="Aptos Narrow"/>
      <family val="2"/>
      <scheme val="minor"/>
    </font>
    <font>
      <i/>
      <sz val="11"/>
      <color theme="1"/>
      <name val="Aptos Narrow"/>
      <family val="2"/>
      <scheme val="minor"/>
    </font>
    <font>
      <sz val="10"/>
      <color theme="1"/>
      <name val="Arial Unicode MS"/>
    </font>
    <font>
      <sz val="11"/>
      <color rgb="FFC00000"/>
      <name val="Aptos Narrow"/>
      <family val="2"/>
      <scheme val="minor"/>
    </font>
    <font>
      <sz val="11"/>
      <color theme="5" tint="-0.499984740745262"/>
      <name val="Aptos Narrow"/>
      <family val="2"/>
      <scheme val="minor"/>
    </font>
    <font>
      <sz val="11"/>
      <color theme="1" tint="0.249977111117893"/>
      <name val="Aptos Narrow"/>
      <family val="2"/>
      <scheme val="minor"/>
    </font>
    <font>
      <sz val="10"/>
      <color theme="1"/>
      <name val="Courier New"/>
      <family val="3"/>
    </font>
    <font>
      <sz val="11"/>
      <color rgb="FFFF0000"/>
      <name val="Aptos Narrow"/>
      <family val="2"/>
      <scheme val="minor"/>
    </font>
    <font>
      <sz val="11"/>
      <color rgb="FF9C0006"/>
      <name val="Aptos Narrow"/>
      <family val="2"/>
    </font>
    <font>
      <sz val="11"/>
      <color rgb="FF9C5700"/>
      <name val="Aptos Narrow"/>
      <family val="2"/>
    </font>
    <font>
      <sz val="11"/>
      <color rgb="FF006100"/>
      <name val="Aptos Narrow"/>
      <family val="2"/>
    </font>
    <font>
      <sz val="11"/>
      <color theme="1"/>
      <name val="Aptos Narrow"/>
      <family val="2"/>
    </font>
    <font>
      <sz val="12"/>
      <color theme="0"/>
      <name val="Calibri"/>
      <family val="2"/>
    </font>
    <font>
      <sz val="10"/>
      <color indexed="8"/>
      <name val="Calibri"/>
      <family val="2"/>
    </font>
    <font>
      <sz val="10"/>
      <name val="Calibri"/>
      <family val="2"/>
    </font>
    <font>
      <sz val="10"/>
      <color theme="1"/>
      <name val="Inherit"/>
    </font>
  </fonts>
  <fills count="12">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C7CE"/>
        <bgColor rgb="FF000000"/>
      </patternFill>
    </fill>
    <fill>
      <patternFill patternType="solid">
        <fgColor rgb="FFFFEB9C"/>
        <bgColor rgb="FF000000"/>
      </patternFill>
    </fill>
    <fill>
      <patternFill patternType="solid">
        <fgColor rgb="FFC6EFCE"/>
        <bgColor rgb="FF000000"/>
      </patternFill>
    </fill>
    <fill>
      <patternFill patternType="solid">
        <fgColor theme="5" tint="0.79998168889431442"/>
        <bgColor indexed="64"/>
      </patternFill>
    </fill>
    <fill>
      <patternFill patternType="solid">
        <fgColor rgb="FF002060"/>
        <bgColor indexed="64"/>
      </patternFill>
    </fill>
    <fill>
      <patternFill patternType="solid">
        <fgColor theme="0"/>
        <bgColor theme="4" tint="0.79998168889431442"/>
      </patternFill>
    </fill>
  </fills>
  <borders count="15">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bottom/>
      <diagonal/>
    </border>
    <border>
      <left style="thin">
        <color indexed="64"/>
      </left>
      <right/>
      <top/>
      <bottom style="thin">
        <color indexed="64"/>
      </bottom>
      <diagonal/>
    </border>
    <border>
      <left style="thin">
        <color indexed="64"/>
      </left>
      <right/>
      <top style="thin">
        <color theme="4" tint="0.39997558519241921"/>
      </top>
      <bottom style="thin">
        <color indexed="64"/>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6">
    <xf numFmtId="0" fontId="0" fillId="0" borderId="0" xfId="0"/>
    <xf numFmtId="0" fontId="0" fillId="0" borderId="0" xfId="0" applyAlignment="1">
      <alignment vertical="center" wrapText="1"/>
    </xf>
    <xf numFmtId="0" fontId="1" fillId="0" borderId="0" xfId="0" applyFont="1"/>
    <xf numFmtId="0" fontId="0" fillId="2" borderId="0" xfId="0" applyFill="1"/>
    <xf numFmtId="0" fontId="0" fillId="2" borderId="0" xfId="0" applyFill="1" applyAlignment="1">
      <alignment vertical="center" wrapText="1"/>
    </xf>
    <xf numFmtId="0" fontId="0" fillId="2" borderId="0" xfId="0" applyFill="1" applyAlignment="1">
      <alignment wrapText="1"/>
    </xf>
    <xf numFmtId="0" fontId="1" fillId="0" borderId="0" xfId="0" applyFont="1" applyAlignment="1">
      <alignment horizontal="center" vertical="center"/>
    </xf>
    <xf numFmtId="0" fontId="0" fillId="0" borderId="0" xfId="0" applyAlignment="1">
      <alignment vertical="center"/>
    </xf>
    <xf numFmtId="0" fontId="1" fillId="2" borderId="0" xfId="0" applyFont="1" applyFill="1" applyAlignment="1">
      <alignment horizontal="center" vertical="center"/>
    </xf>
    <xf numFmtId="0" fontId="10" fillId="0" borderId="0" xfId="0" applyFont="1" applyAlignment="1">
      <alignment vertical="center"/>
    </xf>
    <xf numFmtId="0" fontId="12" fillId="0" borderId="0" xfId="0" applyFont="1" applyAlignment="1">
      <alignment vertical="center"/>
    </xf>
    <xf numFmtId="0" fontId="2" fillId="0" borderId="0" xfId="0" applyFont="1" applyAlignment="1">
      <alignment vertical="center"/>
    </xf>
    <xf numFmtId="0" fontId="1" fillId="0" borderId="0" xfId="0" applyFont="1" applyAlignment="1">
      <alignment horizontal="center" vertical="center" wrapText="1"/>
    </xf>
    <xf numFmtId="0" fontId="15" fillId="0" borderId="0" xfId="0" applyFont="1" applyAlignment="1">
      <alignment vertical="center" wrapText="1"/>
    </xf>
    <xf numFmtId="0" fontId="16" fillId="0" borderId="0" xfId="0" applyFont="1" applyAlignment="1">
      <alignment vertical="center"/>
    </xf>
    <xf numFmtId="0" fontId="0" fillId="0" borderId="0" xfId="0" applyAlignment="1">
      <alignment wrapText="1"/>
    </xf>
    <xf numFmtId="0" fontId="1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13"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1" fillId="0" borderId="0" xfId="0" applyFont="1" applyAlignment="1">
      <alignment wrapText="1"/>
    </xf>
    <xf numFmtId="0" fontId="0" fillId="0" borderId="1" xfId="0" applyBorder="1"/>
    <xf numFmtId="0" fontId="0" fillId="0" borderId="2" xfId="0" applyBorder="1"/>
    <xf numFmtId="0" fontId="0" fillId="0" borderId="3" xfId="0" applyBorder="1"/>
    <xf numFmtId="0" fontId="19" fillId="0" borderId="0" xfId="0" applyFont="1"/>
    <xf numFmtId="9" fontId="0" fillId="0" borderId="0" xfId="0" applyNumberFormat="1"/>
    <xf numFmtId="164" fontId="0" fillId="0" borderId="0" xfId="0" applyNumberFormat="1"/>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20" fillId="0" borderId="0" xfId="0" applyFont="1" applyAlignment="1">
      <alignment wrapText="1" readingOrder="1"/>
    </xf>
    <xf numFmtId="0" fontId="1" fillId="0" borderId="4" xfId="0" applyFont="1" applyBorder="1" applyAlignment="1">
      <alignment horizontal="center"/>
    </xf>
    <xf numFmtId="0" fontId="1" fillId="0" borderId="5" xfId="0" applyFont="1" applyBorder="1" applyAlignment="1">
      <alignment horizontal="center"/>
    </xf>
    <xf numFmtId="0" fontId="1" fillId="3" borderId="0" xfId="0" applyFont="1" applyFill="1"/>
    <xf numFmtId="0" fontId="1" fillId="0" borderId="6" xfId="0" applyFont="1"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1" fillId="0" borderId="7" xfId="0" applyFont="1" applyBorder="1"/>
    <xf numFmtId="0" fontId="0" fillId="0" borderId="12" xfId="0" applyBorder="1"/>
    <xf numFmtId="0" fontId="21" fillId="0" borderId="0" xfId="0" applyFont="1"/>
    <xf numFmtId="0" fontId="8" fillId="0" borderId="0" xfId="0" applyFont="1" applyAlignment="1">
      <alignment wrapText="1"/>
    </xf>
    <xf numFmtId="0" fontId="22" fillId="6" borderId="0" xfId="0" applyFont="1" applyFill="1"/>
    <xf numFmtId="0" fontId="23" fillId="7" borderId="0" xfId="0" applyFont="1" applyFill="1"/>
    <xf numFmtId="0" fontId="24" fillId="8" borderId="0" xfId="0" applyFont="1" applyFill="1"/>
    <xf numFmtId="14" fontId="0" fillId="0" borderId="0" xfId="0" applyNumberFormat="1"/>
    <xf numFmtId="0" fontId="8" fillId="9" borderId="0" xfId="0" applyFont="1" applyFill="1" applyAlignment="1">
      <alignment wrapText="1"/>
    </xf>
    <xf numFmtId="0" fontId="1"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165" fontId="0" fillId="0" borderId="0" xfId="0" applyNumberFormat="1"/>
    <xf numFmtId="0" fontId="0" fillId="0" borderId="13" xfId="0" applyBorder="1"/>
    <xf numFmtId="0" fontId="25" fillId="0" borderId="0" xfId="0" applyFont="1"/>
    <xf numFmtId="0" fontId="0" fillId="0" borderId="0" xfId="0" applyAlignment="1">
      <alignment horizontal="left" vertical="center" wrapText="1"/>
    </xf>
    <xf numFmtId="15" fontId="0" fillId="0" borderId="0" xfId="0" applyNumberFormat="1"/>
    <xf numFmtId="0" fontId="27" fillId="0" borderId="14" xfId="0" applyFont="1" applyBorder="1" applyAlignment="1">
      <alignment horizontal="left" vertical="top"/>
    </xf>
    <xf numFmtId="0" fontId="28" fillId="0" borderId="14" xfId="0" applyFont="1" applyBorder="1" applyAlignment="1">
      <alignment horizontal="left"/>
    </xf>
    <xf numFmtId="0" fontId="26" fillId="10" borderId="14" xfId="0" applyFont="1" applyFill="1" applyBorder="1" applyAlignment="1">
      <alignment horizontal="center" vertical="top"/>
    </xf>
    <xf numFmtId="0" fontId="0" fillId="11" borderId="13" xfId="0" applyFill="1" applyBorder="1"/>
    <xf numFmtId="0" fontId="0" fillId="0" borderId="0" xfId="0" applyAlignment="1">
      <alignment horizontal="left"/>
    </xf>
    <xf numFmtId="0" fontId="0" fillId="0" borderId="0" xfId="0" applyAlignment="1">
      <alignment horizontal="left" wrapText="1"/>
    </xf>
    <xf numFmtId="0" fontId="29" fillId="0" borderId="0" xfId="0" applyFont="1" applyAlignment="1">
      <alignment horizontal="left" wrapText="1"/>
    </xf>
  </cellXfs>
  <cellStyles count="1">
    <cellStyle name="Normal" xfId="0" builtinId="0"/>
  </cellStyles>
  <dxfs count="21">
    <dxf>
      <border diagonalUp="0" diagonalDown="0">
        <left/>
        <right style="thin">
          <color indexed="64"/>
        </right>
        <top/>
        <bottom/>
        <vertical/>
        <horizontal/>
      </border>
    </dxf>
    <dxf>
      <border diagonalUp="0" diagonalDown="0">
        <left style="thin">
          <color rgb="FF000000"/>
        </left>
        <right style="thin">
          <color rgb="FF000000"/>
        </right>
        <top/>
        <bottom/>
        <vertical/>
        <horizontal/>
      </border>
    </dxf>
    <dxf>
      <border diagonalUp="0" diagonalDown="0">
        <left style="thin">
          <color indexed="64"/>
        </left>
        <right/>
        <top/>
        <bottom/>
        <vertical/>
        <horizontal/>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numFmt numFmtId="0" formatCode="General"/>
    </dxf>
    <dxf>
      <alignment horizontal="general" vertical="bottom"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dxf>
    <dxf>
      <fill>
        <patternFill patternType="solid">
          <bgColor theme="6" tint="0.59999389629810485"/>
        </patternFill>
      </fill>
    </dxf>
    <dxf>
      <fill>
        <patternFill patternType="solid">
          <bgColor theme="6" tint="0.79998168889431442"/>
        </patternFill>
      </fill>
    </dxf>
    <dxf>
      <fill>
        <patternFill patternType="solid">
          <bgColor theme="6" tint="0.59999389629810485"/>
        </patternFill>
      </fill>
    </dxf>
    <dxf>
      <fill>
        <patternFill patternType="solid">
          <bgColor theme="6" tint="0.79998168889431442"/>
        </patternFill>
      </fill>
    </dxf>
    <dxf>
      <fill>
        <patternFill patternType="solid">
          <bgColor theme="6" tint="0.79998168889431442"/>
        </patternFill>
      </fill>
    </dxf>
    <dxf>
      <fill>
        <patternFill patternType="solid">
          <bgColor theme="6" tint="0.59999389629810485"/>
        </patternFill>
      </fill>
    </dxf>
    <dxf>
      <fill>
        <patternFill patternType="solid">
          <bgColor theme="6" tint="0.79998168889431442"/>
        </patternFill>
      </fill>
    </dxf>
    <dxf>
      <fill>
        <patternFill patternType="solid">
          <bgColor theme="6" tint="0.59999389629810485"/>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102053</xdr:colOff>
      <xdr:row>1</xdr:row>
      <xdr:rowOff>142874</xdr:rowOff>
    </xdr:from>
    <xdr:to>
      <xdr:col>16</xdr:col>
      <xdr:colOff>578304</xdr:colOff>
      <xdr:row>50</xdr:row>
      <xdr:rowOff>171451</xdr:rowOff>
    </xdr:to>
    <xdr:pic>
      <xdr:nvPicPr>
        <xdr:cNvPr id="3" name="Picture 2">
          <a:extLst>
            <a:ext uri="{FF2B5EF4-FFF2-40B4-BE49-F238E27FC236}">
              <a16:creationId xmlns:a16="http://schemas.microsoft.com/office/drawing/2014/main" id="{26BDBC03-D2CC-6C65-9D27-89898877B614}"/>
            </a:ext>
          </a:extLst>
        </xdr:cNvPr>
        <xdr:cNvPicPr>
          <a:picLocks noChangeAspect="1"/>
        </xdr:cNvPicPr>
      </xdr:nvPicPr>
      <xdr:blipFill>
        <a:blip xmlns:r="http://schemas.openxmlformats.org/officeDocument/2006/relationships" r:embed="rId1"/>
        <a:stretch>
          <a:fillRect/>
        </a:stretch>
      </xdr:blipFill>
      <xdr:spPr>
        <a:xfrm>
          <a:off x="748393" y="326571"/>
          <a:ext cx="10171340" cy="902970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avid Irvine" id="{2D30A5D6-A763-4ABB-81AE-1F40D026C227}" userId="dirvine@clever-touch.com" providerId="PeoplePicker"/>
  <person displayName="Swati Jain (QMR C)" id="{C270D1E8-5592-4EB3-AC40-38DB4A883A37}" userId="S::swati.2.jain@bt.com::4744f5a6-bacd-48fd-8eb9-b4568a288a78" providerId="AD"/>
  <person displayName="Chloe Martin" id="{14C944A1-1481-401E-974A-00A50AE6EDAF}" userId="S::Cmartin@clever-touch.com::360aebb7-4465-4ee2-83a1-3773e61f42b9" providerId="AD"/>
  <person displayName="David Irvine" id="{B662DE40-7D09-46E5-994D-04657B702874}" userId="S::dirvine@clever-touch.com::3634e974-cce3-4d9b-99f6-f0a18f34284e" providerId="AD"/>
  <person displayName="David Irvine" id="{AAA37CC3-87B7-4864-8A18-DF0D77544CD8}" userId="S::dirvine_clever-touch.com#ext#@btgroupcloud.onmicrosoft.com::a67b146a-f9b4-4dff-8337-7550a46e0af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6020B2-92A8-4EA5-91A5-8AA3C83F36EA}" name="Table3" displayName="Table3" ref="A1:O23" totalsRowShown="0">
  <autoFilter ref="A1:O23" xr:uid="{796020B2-92A8-4EA5-91A5-8AA3C83F36EA}"/>
  <sortState xmlns:xlrd2="http://schemas.microsoft.com/office/spreadsheetml/2017/richdata2" ref="A2:O22">
    <sortCondition ref="O1:O22"/>
  </sortState>
  <tableColumns count="15">
    <tableColumn id="1" xr3:uid="{2D15C978-230E-4A7E-BF65-A8F9B5B0BB26}" name="Name" dataDxfId="20"/>
    <tableColumn id="2" xr3:uid="{3415CB41-1954-474C-9DE4-F2112710687F}" name="Generation Method"/>
    <tableColumn id="3" xr3:uid="{887FF9C2-4AB2-4063-A54F-11B44AA76969}" name="Description" dataDxfId="19"/>
    <tableColumn id="4" xr3:uid="{6EC50E02-A128-44E4-ACF0-8D5C8D188F56}" name="Purpose (Attribution)" dataDxfId="18"/>
    <tableColumn id="5" xr3:uid="{D283E03F-ABAB-44E7-9F5E-429B25455BD0}" name="*Purpose (Analytics)" dataDxfId="17"/>
    <tableColumn id="6" xr3:uid="{7274DBBC-78CF-4D6F-9B3F-11338CFC13EC}" name="Granularity" dataDxfId="16"/>
    <tableColumn id="7" xr3:uid="{4F1ACA9E-6C5C-4AE4-98B7-C58830CE4C61}" name="Field Count"/>
    <tableColumn id="8" xr3:uid="{B6740DAE-70D4-433C-B96F-B9261735F158}" name="generate?"/>
    <tableColumn id="9" xr3:uid="{7D2A4B4A-6D34-4FA9-9DFB-BE33968CE1FA}" name="generation_order"/>
    <tableColumn id="10" xr3:uid="{AC309397-6492-4F64-BFE0-BD50D2833501}" name="Generate_Rows"/>
    <tableColumn id="11" xr3:uid="{CC725491-CF55-403A-8435-ABFC99499828}" name="existing consumption project "/>
    <tableColumn id="12" xr3:uid="{9793B89B-7022-43AF-A17C-CB0E927F300B}" name="bps_roi_rw"/>
    <tableColumn id="13" xr3:uid="{7CEEE3B0-EC71-45FB-921C-385E525D7BF1}" name="extend the views/objects"/>
    <tableColumn id="14" xr3:uid="{FB234204-8FA8-4745-9111-FF521BE0D28C}" name="Phase"/>
    <tableColumn id="15" xr3:uid="{0665334F-F172-4EB7-9ED4-189997FF0A60}" name="Ord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96AB2F-F9BE-4F78-8BC5-51EC98BD60B1}" name="Table1" displayName="Table1" ref="A1:O340" totalsRowShown="0">
  <autoFilter ref="A1:O340" xr:uid="{D396AB2F-F9BE-4F78-8BC5-51EC98BD60B1}">
    <filterColumn colId="0">
      <filters>
        <filter val="Attribution Linking Table"/>
        <filter val="(NonBlanks)"/>
      </filters>
    </filterColumn>
  </autoFilter>
  <tableColumns count="15">
    <tableColumn id="1" xr3:uid="{FA10E4DE-EA14-4D6D-B2DE-B36300D4BF76}" name="Object" dataDxfId="7"/>
    <tableColumn id="2" xr3:uid="{32E1B4A0-4AC4-478E-B858-9CDAC148562B}" name="Name"/>
    <tableColumn id="3" xr3:uid="{85FF24E0-DD58-4F79-B3D0-388BE33FFF38}" name="Description" dataDxfId="6"/>
    <tableColumn id="4" xr3:uid="{DDF2A8F8-D578-432C-9C8E-513579A7E305}" name="Purpose(modelling)"/>
    <tableColumn id="5" xr3:uid="{16FB7B03-B8ED-4DDE-99A6-CE5534013176}" name="Purpose(Analytics)"/>
    <tableColumn id="6" xr3:uid="{ED2E566B-7FFE-4EB2-A8E3-BAB3EAAF699B}" name="Format"/>
    <tableColumn id="7" xr3:uid="{8529F2E9-FE33-49C3-9957-B17949619D35}" name="Example Values" dataDxfId="5"/>
    <tableColumn id="8" xr3:uid="{6F705DBE-267C-4645-8C93-CB99BEC6A154}" name="Tokenised"/>
    <tableColumn id="9" xr3:uid="{193B0F12-7095-425B-833D-884F117D2CC8}" name="Tokenised Reason"/>
    <tableColumn id="10" xr3:uid="{D6E8B652-AD77-4FB5-BD6A-F4C444E11ED9}" name="Required for POC?"/>
    <tableColumn id="13" xr3:uid="{4D150CCC-6D78-4641-88B9-0DBE8AD8111D}" name="Requiered for MVP?"/>
    <tableColumn id="11" xr3:uid="{F613005B-A04F-4902-B2B7-8925BB2C3BEE}" name="Available in Core_Orders?"/>
    <tableColumn id="12" xr3:uid="{E100546D-F104-4733-B3F7-4D696AC51EC4}" name="Last Changed Date"/>
    <tableColumn id="14" xr3:uid="{31113812-DCE1-4BBC-8F46-A9EC0ED024D2}" name="Change Description"/>
    <tableColumn id="15" xr3:uid="{0537DAC6-EC2A-45EB-88D5-92795697AB48}" name="Column1" dataDxfId="4">
      <calculatedColumnFormula>_xlfn.XLOOKUP(Table1[[#This Row],[Name]],'Field name checks'!A:A,'Field name checks'!A:A,"Missing",0)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96477C-ECA9-4EBE-A35F-BB664900AC81}" name="Table2" displayName="Table2" ref="A1:I23" totalsRowShown="0" headerRowDxfId="3">
  <autoFilter ref="A1:I23" xr:uid="{6D96477C-ECA9-4EBE-A35F-BB664900AC81}"/>
  <sortState xmlns:xlrd2="http://schemas.microsoft.com/office/spreadsheetml/2017/richdata2" ref="A2:I23">
    <sortCondition ref="A1:A23"/>
  </sortState>
  <tableColumns count="9">
    <tableColumn id="1" xr3:uid="{EACA768A-938B-44E7-89E1-1321528ABE92}" name="Channel Name" dataDxfId="2"/>
    <tableColumn id="2" xr3:uid="{C41B0F01-37EC-4C6A-ABBC-015577D1F75A}" name="Interactions Concatenated" dataDxfId="1">
      <calculatedColumnFormula>_xlfn.TEXTJOIN(";",TRUE,C2:I2)</calculatedColumnFormula>
    </tableColumn>
    <tableColumn id="3" xr3:uid="{329D1A88-3265-4F13-8A3B-7827457D6F32}" name="Interactions"/>
    <tableColumn id="4" xr3:uid="{1A3012FB-7917-49D1-90EF-600C1CB8AF3D}" name="Column1"/>
    <tableColumn id="5" xr3:uid="{B6D0889D-ECB5-4551-81F5-F8F0CA2C7966}" name="Column2"/>
    <tableColumn id="6" xr3:uid="{14E78471-B42C-46A7-BD1C-9D7851118FD7}" name="Column3"/>
    <tableColumn id="7" xr3:uid="{CA5A524F-838E-43AD-9CF2-84DFE3771ACC}" name="Column4"/>
    <tableColumn id="8" xr3:uid="{E6176540-475B-4EEA-94F4-70616D68E722}" name="Column5"/>
    <tableColumn id="9" xr3:uid="{CC2AC228-2DF6-4FF9-8A82-C7A0F3A6F6DD}" name="Column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2" dT="2025-03-06T16:38:55.69" personId="{14C944A1-1481-401E-974A-00A50AE6EDAF}" id="{57FA6171-D98F-4CBE-BFC6-0F80D28C0683}">
    <text xml:space="preserve">@David Irvine 
Model Type id like rule/technique id/version may be needed
</text>
    <mentions>
      <mention mentionpersonId="{2D30A5D6-A763-4ABB-81AE-1F40D026C227}" mentionId="{2F617B9F-F35D-4300-BECB-E6375FCCC83C}" startIndex="0" length="13"/>
    </mentions>
  </threadedComment>
  <threadedComment ref="C23" dT="2025-03-06T16:39:11.41" personId="{14C944A1-1481-401E-974A-00A50AE6EDAF}" id="{0274946B-05FE-4A74-940A-A8DC46B315F1}">
    <text xml:space="preserve">@David Irvine 
Example please
</text>
    <mentions>
      <mention mentionpersonId="{2D30A5D6-A763-4ABB-81AE-1F40D026C227}" mentionId="{5C294C0F-8E2C-4279-9BA2-7BE5C8BCE3CA}" startIndex="0" length="13"/>
    </mentions>
  </threadedComment>
  <threadedComment ref="C23" dT="2025-03-07T22:33:19.75" personId="{B662DE40-7D09-46E5-994D-04657B702874}" id="{8926F950-B59C-445B-88C8-B788066D21F2}" parentId="{0274946B-05FE-4A74-940A-A8DC46B315F1}">
    <text>See Example Values</text>
  </threadedComment>
  <threadedComment ref="G69" dT="2025-03-06T16:35:13.02" personId="{14C944A1-1481-401E-974A-00A50AE6EDAF}" id="{710AF4BE-211D-4E73-BD3F-C39C02D0E5DC}">
    <text xml:space="preserve">@David Irvine 
(i)how to differentiate from BTL if there is more than one individual to be contacted (ii) Is there a specific channel available like collaborative-event. Any example for 'Sales' as a channel please
</text>
    <mentions>
      <mention mentionpersonId="{2D30A5D6-A763-4ABB-81AE-1F40D026C227}" mentionId="{5FA50CBA-8F48-47DD-833F-96694B194028}" startIndex="0" length="13"/>
    </mentions>
  </threadedComment>
  <threadedComment ref="G70" dT="2025-03-06T16:36:02.01" personId="{14C944A1-1481-401E-974A-00A50AE6EDAF}" id="{B1C76761-6506-4B3F-A378-69D1147B5870}">
    <text xml:space="preserve">@David Irvine 
Conversation may be divided to Chat &amp; Call by BT representative (including AI assisted )
</text>
    <mentions>
      <mention mentionpersonId="{2D30A5D6-A763-4ABB-81AE-1F40D026C227}" mentionId="{09FFD19E-344E-45A8-85D7-6A39558E8131}" startIndex="0" length="13"/>
    </mentions>
  </threadedComment>
  <threadedComment ref="B124" dT="2025-03-06T16:38:33.85" personId="{14C944A1-1481-401E-974A-00A50AE6EDAF}" id="{8497C7DA-1239-4373-88D7-CCD3FD1374B1}">
    <text xml:space="preserve">@David Irvine 
May need to be product like Broadbrand , BT net etc) not Marketing Asset (like bulletin board, pamphlet etc)
</text>
    <mentions>
      <mention mentionpersonId="{2D30A5D6-A763-4ABB-81AE-1F40D026C227}" mentionId="{576CC030-1B6D-4CCB-BC5F-594D12D9EABC}" startIndex="0" length="13"/>
    </mentions>
  </threadedComment>
  <threadedComment ref="B124" dT="2025-03-07T22:24:32.38" personId="{B662DE40-7D09-46E5-994D-04657B702874}" id="{3477900C-1235-4AD9-B6B9-B36EBE216470}" parentId="{8497C7DA-1239-4373-88D7-CCD3FD1374B1}">
    <text>See comment on product family</text>
  </threadedComment>
  <threadedComment ref="L147" dT="2025-09-19T11:34:18.54" personId="{C270D1E8-5592-4EB3-AC40-38DB4A883A37}" id="{E6C090DE-4499-4707-85E3-463C002A1496}">
    <text>In discussion it was told values to be Provide, Resign and Churn, but example values show Provide, Mixed, Cease so not clear which set is needed</text>
  </threadedComment>
  <threadedComment ref="L147" dT="2025-09-19T18:57:21.78" personId="{AAA37CC3-87B7-4864-8A18-DF0D77544CD8}" id="{FA5EE541-C661-495B-BE31-F48EEE68F296}" parentId="{E6C090DE-4499-4707-85E3-463C002A1496}">
    <text>If the field you are looking at contains values of Mixed then we need a different field. For each Item we should know if its a provide or a cease. Perhaps we need to look at the order item action type</text>
  </threadedComment>
  <threadedComment ref="L148" dT="2025-09-19T11:04:18.75" personId="{C270D1E8-5592-4EB3-AC40-38DB4A883A37}" id="{1BBB7B82-CD99-47EB-BFCC-971EC85BD5F2}">
    <text xml:space="preserve">Sales channel values are
   Indirect Partner Sales
NI
Bus Sales New
CPS
Other
Bus Sales
Global Services
BTLB - London
Digital
EE Online
SME DESK Online
SME Field
BTBus Online
Retail
EE
Desk Other
BTLB - Other
Outbound
BTLB - SALESLAB
EE Inbound
Glasgow SME Outbound
Retention
SME DESK
BTLB - South
Voice Inbound
BTLB - North
BTLB - Central
Outbound Voice
Glasgow SoHo Outbound
Enterprise Service
BTLB - West
Enterprise Sales Enablement
Other_SC
BTLB
EE Major Public Sector
SME Mid-Market
</text>
  </threadedComment>
  <threadedComment ref="L148" dT="2025-09-19T19:00:55.33" personId="{AAA37CC3-87B7-4864-8A18-DF0D77544CD8}" id="{7D4C4A4C-AA3A-4AA7-94DC-E1A87C259EB4}" parentId="{1BBB7B82-CD99-47EB-BFCC-971EC85BD5F2}">
    <text>It may be then we need a higher level field that categories these, I.E. BTLB's Desk,...</text>
  </threadedComment>
  <threadedComment ref="L150" dT="2025-09-19T11:11:15.92" personId="{C270D1E8-5592-4EB3-AC40-38DB4A883A37}" id="{5334DB75-EB91-4C77-B14B-4E2E257AAAA3}">
    <text xml:space="preserve">Not directly available, it can be combination of Order status and order status date, need to understand from order table SME
</text>
  </threadedComment>
  <threadedComment ref="L159" dT="2025-09-19T11:11:15.92" personId="{C270D1E8-5592-4EB3-AC40-38DB4A883A37}" id="{A21A424B-EA20-47AA-86B5-696100E6F35A}">
    <text xml:space="preserve">Not directly available, it can be combination of Order status and order status date, need to understand from order table SME
</text>
  </threadedComment>
  <threadedComment ref="L164" dT="2025-09-19T11:11:15.92" personId="{C270D1E8-5592-4EB3-AC40-38DB4A883A37}" id="{F0D8DAE0-146C-4F64-BDFC-08EEA662B13C}">
    <text xml:space="preserve">Not directly available, it can be combination of Order status and order status date, need to understand from order table SME
</text>
  </threadedComment>
  <threadedComment ref="L165" dT="2025-09-19T11:19:11.63" personId="{C270D1E8-5592-4EB3-AC40-38DB4A883A37}" id="{54B0C543-2BBB-4A1C-BE36-C8332C8DA97B}">
    <text xml:space="preserve">In core order SOV is recurring charge and one off is a separate column, we migh need to align ROI order in same format.
</text>
  </threadedComment>
  <threadedComment ref="L165" dT="2025-09-19T19:01:48.79" personId="{AAA37CC3-87B7-4864-8A18-DF0D77544CD8}" id="{B95EB164-AE70-4D62-80A0-65308B7DF085}" parentId="{54B0C543-2BBB-4A1C-BE36-C8332C8DA97B}">
    <text>Yes Agreed we can change structure to align.</text>
  </threadedComment>
  <threadedComment ref="L167" dT="2025-09-19T11:31:56.25" personId="{C270D1E8-5592-4EB3-AC40-38DB4A883A37}" id="{3F3B93DB-884E-4D03-90A3-44794742F778}">
    <text>Could be combination of 2 fields CEASE_REASON_GROUP and CEASE_REASON_SUB_GROUP values are
Process	
Migration	Internal
Insolvency	Compulsory
Insolvency	Bad Debt
Insolvency	Downsizing
Migration	Corporate
Competitor	Three
Competitor	O2
Fraud	Fraud
Competitor	Other
Migration	EE
14dmb	14dmb
Migration	BT Business
Competitor	Vodafone
Insolvency	Voluntary
Competitor	o2
Migration	BT One Phone
Migration	
Migration	BT Consumer
Competitor	Sky
Process	Other</text>
  </threadedComment>
  <threadedComment ref="L167" dT="2025-09-19T19:02:04.05" personId="{AAA37CC3-87B7-4864-8A18-DF0D77544CD8}" id="{67914915-9A7D-4AC7-97B7-2DC9A40F22FD}" parentId="{3F3B93DB-884E-4D03-90A3-44794742F778}">
    <text>Just have 2 seperate fields</text>
  </threadedComment>
  <threadedComment ref="L171" dT="2025-09-19T11:33:10.48" personId="{C270D1E8-5592-4EB3-AC40-38DB4A883A37}" id="{B067FDC9-DF9D-4CAA-8A5C-8BB4B5C5C9E7}">
    <text xml:space="preserve">Order_item_num row is getting repeated, need to understand from core order SME the view structure.
</text>
  </threadedComment>
  <threadedComment ref="L171" dT="2025-09-19T19:02:14.49" personId="{AAA37CC3-87B7-4864-8A18-DF0D77544CD8}" id="{73642023-CD3C-4AE5-AC60-B4738A2FDCA2}" parentId="{B067FDC9-DF9D-4CAA-8A5C-8BB4B5C5C9E7}">
    <text xml:space="preserve">Let us know what you find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8BEB6-65EB-437D-B437-4DFA85EC4A08}">
  <dimension ref="A1:O23"/>
  <sheetViews>
    <sheetView tabSelected="1" zoomScale="115" zoomScaleNormal="100" workbookViewId="0">
      <pane xSplit="1" ySplit="1" topLeftCell="E2" activePane="bottomRight" state="frozen"/>
      <selection pane="bottomRight" activeCell="J7" sqref="J7"/>
      <selection pane="bottomLeft"/>
      <selection pane="topRight"/>
    </sheetView>
  </sheetViews>
  <sheetFormatPr defaultRowHeight="14.45"/>
  <cols>
    <col min="1" max="1" width="36.140625" bestFit="1" customWidth="1"/>
    <col min="2" max="2" width="34.42578125" bestFit="1" customWidth="1"/>
    <col min="3" max="3" width="71.5703125" style="15" customWidth="1"/>
    <col min="4" max="4" width="49.5703125" style="15" bestFit="1" customWidth="1"/>
    <col min="5" max="5" width="37.140625" style="15" customWidth="1"/>
    <col min="6" max="6" width="158.42578125" style="15" customWidth="1"/>
    <col min="7" max="7" width="13.5703125" bestFit="1" customWidth="1"/>
    <col min="8" max="8" width="12.28515625" bestFit="1" customWidth="1"/>
    <col min="9" max="9" width="18.7109375" bestFit="1" customWidth="1"/>
    <col min="10" max="10" width="17.42578125" bestFit="1" customWidth="1"/>
    <col min="11" max="11" width="30.140625" bestFit="1" customWidth="1"/>
    <col min="12" max="12" width="31.85546875" customWidth="1"/>
    <col min="13" max="13" width="26" bestFit="1" customWidth="1"/>
    <col min="14" max="14" width="19.42578125" bestFit="1" customWidth="1"/>
  </cols>
  <sheetData>
    <row r="1" spans="1:15">
      <c r="A1" s="6" t="s">
        <v>0</v>
      </c>
      <c r="B1" s="6" t="s">
        <v>1</v>
      </c>
      <c r="C1" s="12" t="s">
        <v>2</v>
      </c>
      <c r="D1" s="12" t="s">
        <v>3</v>
      </c>
      <c r="E1" s="12" t="s">
        <v>4</v>
      </c>
      <c r="F1" s="12" t="s">
        <v>5</v>
      </c>
      <c r="G1" s="6" t="s">
        <v>6</v>
      </c>
      <c r="H1" t="s">
        <v>7</v>
      </c>
      <c r="I1" t="s">
        <v>8</v>
      </c>
      <c r="J1" t="s">
        <v>9</v>
      </c>
      <c r="K1" s="2" t="s">
        <v>10</v>
      </c>
      <c r="L1" s="2" t="s">
        <v>11</v>
      </c>
      <c r="M1" t="s">
        <v>12</v>
      </c>
      <c r="N1" t="s">
        <v>13</v>
      </c>
      <c r="O1" t="s">
        <v>14</v>
      </c>
    </row>
    <row r="2" spans="1:15" ht="72">
      <c r="A2" s="29" t="s">
        <v>15</v>
      </c>
      <c r="B2" s="6" t="s">
        <v>16</v>
      </c>
      <c r="C2" s="1" t="s">
        <v>17</v>
      </c>
      <c r="D2" s="1" t="s">
        <v>18</v>
      </c>
      <c r="E2" s="1" t="s">
        <v>19</v>
      </c>
      <c r="F2" s="1" t="s">
        <v>20</v>
      </c>
      <c r="G2">
        <f>COUNTIF(Attributes!A:A,objects!A8)</f>
        <v>17</v>
      </c>
      <c r="H2" t="s">
        <v>21</v>
      </c>
      <c r="I2">
        <v>17</v>
      </c>
      <c r="J2">
        <v>500000</v>
      </c>
      <c r="N2" t="s">
        <v>22</v>
      </c>
      <c r="O2">
        <v>1</v>
      </c>
    </row>
    <row r="3" spans="1:15" ht="100.9">
      <c r="A3" s="29" t="s">
        <v>23</v>
      </c>
      <c r="B3" s="6" t="s">
        <v>16</v>
      </c>
      <c r="C3" s="1" t="s">
        <v>24</v>
      </c>
      <c r="D3" s="1" t="s">
        <v>25</v>
      </c>
      <c r="E3" s="1" t="s">
        <v>26</v>
      </c>
      <c r="F3" s="4" t="s">
        <v>27</v>
      </c>
      <c r="G3">
        <f>COUNTIF(Attributes!A:A,objects!A7)</f>
        <v>0</v>
      </c>
      <c r="H3" t="s">
        <v>21</v>
      </c>
      <c r="I3">
        <v>15</v>
      </c>
      <c r="J3">
        <v>10000</v>
      </c>
      <c r="N3" t="s">
        <v>22</v>
      </c>
      <c r="O3">
        <v>2</v>
      </c>
    </row>
    <row r="4" spans="1:15" ht="43.15">
      <c r="A4" s="29" t="s">
        <v>28</v>
      </c>
      <c r="B4" s="6" t="s">
        <v>16</v>
      </c>
      <c r="C4" s="1" t="s">
        <v>29</v>
      </c>
      <c r="D4" s="1" t="s">
        <v>30</v>
      </c>
      <c r="E4" s="1" t="s">
        <v>31</v>
      </c>
      <c r="F4" s="1" t="s">
        <v>32</v>
      </c>
      <c r="G4">
        <f>COUNTIF(Attributes!A:A,objects!A13)</f>
        <v>4</v>
      </c>
      <c r="H4" t="s">
        <v>21</v>
      </c>
      <c r="I4">
        <v>9</v>
      </c>
      <c r="J4">
        <v>70000</v>
      </c>
      <c r="N4" t="s">
        <v>22</v>
      </c>
      <c r="O4">
        <v>3</v>
      </c>
    </row>
    <row r="5" spans="1:15" ht="57.6">
      <c r="A5" s="29" t="s">
        <v>33</v>
      </c>
      <c r="B5" s="6" t="s">
        <v>16</v>
      </c>
      <c r="C5" s="1" t="s">
        <v>34</v>
      </c>
      <c r="D5" s="1" t="s">
        <v>35</v>
      </c>
      <c r="E5" s="1" t="s">
        <v>36</v>
      </c>
      <c r="F5" s="1" t="s">
        <v>37</v>
      </c>
      <c r="G5">
        <f>COUNTIF(Attributes!A:A,objects!A10)</f>
        <v>4</v>
      </c>
      <c r="H5" t="s">
        <v>21</v>
      </c>
      <c r="I5">
        <v>7</v>
      </c>
      <c r="J5">
        <v>50000</v>
      </c>
      <c r="N5" t="s">
        <v>22</v>
      </c>
      <c r="O5">
        <v>4</v>
      </c>
    </row>
    <row r="6" spans="1:15" ht="86.45">
      <c r="A6" s="29" t="s">
        <v>38</v>
      </c>
      <c r="B6" s="6" t="s">
        <v>16</v>
      </c>
      <c r="C6" s="1" t="s">
        <v>39</v>
      </c>
      <c r="D6" s="1" t="s">
        <v>40</v>
      </c>
      <c r="E6" s="1" t="s">
        <v>41</v>
      </c>
      <c r="F6" s="1" t="s">
        <v>42</v>
      </c>
      <c r="G6">
        <f>COUNTIF(Attributes!A:A,objects!A11)</f>
        <v>34</v>
      </c>
      <c r="H6" t="s">
        <v>21</v>
      </c>
      <c r="I6">
        <v>6</v>
      </c>
      <c r="J6">
        <v>30000</v>
      </c>
      <c r="N6" t="s">
        <v>22</v>
      </c>
      <c r="O6">
        <v>4</v>
      </c>
    </row>
    <row r="7" spans="1:15" ht="43.15">
      <c r="A7" s="31" t="s">
        <v>43</v>
      </c>
      <c r="B7" s="6" t="s">
        <v>16</v>
      </c>
      <c r="C7" s="1" t="s">
        <v>44</v>
      </c>
      <c r="D7" s="1" t="s">
        <v>45</v>
      </c>
      <c r="E7" s="1" t="s">
        <v>46</v>
      </c>
      <c r="F7" s="1" t="s">
        <v>47</v>
      </c>
      <c r="G7">
        <f>COUNTIF(Attributes!A:A,objects!A12)</f>
        <v>5</v>
      </c>
      <c r="H7" t="s">
        <v>48</v>
      </c>
      <c r="I7">
        <v>8</v>
      </c>
      <c r="J7" t="s">
        <v>49</v>
      </c>
      <c r="O7">
        <v>4</v>
      </c>
    </row>
    <row r="8" spans="1:15">
      <c r="A8" s="6" t="s">
        <v>50</v>
      </c>
      <c r="B8" s="6" t="s">
        <v>51</v>
      </c>
      <c r="C8" s="1" t="s">
        <v>52</v>
      </c>
      <c r="D8" s="1" t="s">
        <v>53</v>
      </c>
      <c r="E8" s="1" t="s">
        <v>54</v>
      </c>
      <c r="F8" s="1" t="s">
        <v>55</v>
      </c>
      <c r="G8">
        <f>COUNTIF(Attributes!A:A,objects!A9)</f>
        <v>8</v>
      </c>
      <c r="H8" t="s">
        <v>56</v>
      </c>
      <c r="I8">
        <v>18</v>
      </c>
      <c r="J8" t="s">
        <v>49</v>
      </c>
      <c r="N8" t="s">
        <v>22</v>
      </c>
      <c r="O8">
        <v>5</v>
      </c>
    </row>
    <row r="9" spans="1:15" ht="28.9">
      <c r="A9" s="2" t="s">
        <v>57</v>
      </c>
      <c r="B9" t="s">
        <v>16</v>
      </c>
      <c r="C9" s="15" t="s">
        <v>58</v>
      </c>
      <c r="D9" s="15" t="s">
        <v>59</v>
      </c>
      <c r="E9" s="15" t="s">
        <v>60</v>
      </c>
      <c r="F9" s="15" t="s">
        <v>61</v>
      </c>
      <c r="G9">
        <f>COUNTIF(Attributes!A:A,objects!A19)</f>
        <v>0</v>
      </c>
      <c r="H9" t="s">
        <v>56</v>
      </c>
      <c r="I9">
        <v>0</v>
      </c>
      <c r="N9" t="s">
        <v>22</v>
      </c>
      <c r="O9">
        <v>6</v>
      </c>
    </row>
    <row r="10" spans="1:15" ht="57.6">
      <c r="A10" s="2" t="s">
        <v>62</v>
      </c>
      <c r="B10" s="2" t="s">
        <v>63</v>
      </c>
      <c r="C10" s="4" t="s">
        <v>64</v>
      </c>
      <c r="D10" s="4" t="s">
        <v>65</v>
      </c>
      <c r="E10" s="4" t="s">
        <v>66</v>
      </c>
      <c r="F10" s="5" t="s">
        <v>67</v>
      </c>
      <c r="G10">
        <f>COUNTIF(Attributes!A:A,objects!A17)</f>
        <v>0</v>
      </c>
      <c r="H10" t="s">
        <v>56</v>
      </c>
      <c r="I10">
        <v>19</v>
      </c>
      <c r="J10" t="s">
        <v>49</v>
      </c>
      <c r="N10" t="s">
        <v>22</v>
      </c>
      <c r="O10">
        <v>7</v>
      </c>
    </row>
    <row r="11" spans="1:15" ht="72">
      <c r="A11" s="29" t="s">
        <v>68</v>
      </c>
      <c r="B11" s="29" t="s">
        <v>16</v>
      </c>
      <c r="C11" s="1" t="s">
        <v>69</v>
      </c>
      <c r="D11" s="1" t="s">
        <v>70</v>
      </c>
      <c r="E11" s="1" t="s">
        <v>71</v>
      </c>
      <c r="F11" s="4" t="s">
        <v>72</v>
      </c>
      <c r="G11">
        <f>COUNTIF(Attributes!A:A,objects!A2)</f>
        <v>13</v>
      </c>
      <c r="H11" t="s">
        <v>21</v>
      </c>
      <c r="I11">
        <v>1</v>
      </c>
      <c r="J11">
        <v>30</v>
      </c>
      <c r="L11" s="2" t="s">
        <v>73</v>
      </c>
      <c r="N11" t="s">
        <v>74</v>
      </c>
    </row>
    <row r="12" spans="1:15" ht="72">
      <c r="A12" s="30" t="s">
        <v>75</v>
      </c>
      <c r="B12" s="30" t="s">
        <v>76</v>
      </c>
      <c r="C12" s="1" t="s">
        <v>77</v>
      </c>
      <c r="D12" s="1" t="s">
        <v>78</v>
      </c>
      <c r="E12" s="1" t="s">
        <v>79</v>
      </c>
      <c r="F12" s="1" t="s">
        <v>80</v>
      </c>
      <c r="G12">
        <f>COUNTIF(Attributes!A:A,objects!A3)</f>
        <v>17</v>
      </c>
      <c r="H12" t="s">
        <v>56</v>
      </c>
      <c r="I12">
        <v>2</v>
      </c>
      <c r="J12">
        <f>COUNTA(Channels!B:B)-1</f>
        <v>22</v>
      </c>
      <c r="N12" t="s">
        <v>74</v>
      </c>
    </row>
    <row r="13" spans="1:15" ht="72">
      <c r="A13" s="30" t="s">
        <v>81</v>
      </c>
      <c r="B13" s="30" t="s">
        <v>76</v>
      </c>
      <c r="C13" s="1" t="s">
        <v>82</v>
      </c>
      <c r="D13" s="1" t="s">
        <v>83</v>
      </c>
      <c r="E13" s="1" t="s">
        <v>84</v>
      </c>
      <c r="F13" s="1" t="s">
        <v>85</v>
      </c>
      <c r="G13">
        <f>COUNTIF(Attributes!A:A,objects!A4)</f>
        <v>29</v>
      </c>
      <c r="H13" t="s">
        <v>56</v>
      </c>
      <c r="I13">
        <v>3</v>
      </c>
      <c r="J13">
        <v>7</v>
      </c>
    </row>
    <row r="14" spans="1:15" ht="57.6">
      <c r="A14" s="8" t="s">
        <v>86</v>
      </c>
      <c r="B14" s="8" t="s">
        <v>16</v>
      </c>
      <c r="C14" s="1" t="s">
        <v>87</v>
      </c>
      <c r="D14" s="1" t="s">
        <v>78</v>
      </c>
      <c r="E14" s="1" t="s">
        <v>88</v>
      </c>
      <c r="F14" s="1" t="s">
        <v>89</v>
      </c>
      <c r="G14">
        <f>COUNTIF(Attributes!A:A,objects!A5)</f>
        <v>59</v>
      </c>
      <c r="H14" t="s">
        <v>56</v>
      </c>
      <c r="I14">
        <v>4</v>
      </c>
      <c r="J14">
        <v>300</v>
      </c>
      <c r="N14" t="s">
        <v>74</v>
      </c>
    </row>
    <row r="15" spans="1:15" ht="43.15">
      <c r="A15" s="6" t="s">
        <v>90</v>
      </c>
      <c r="B15" s="6" t="s">
        <v>16</v>
      </c>
      <c r="C15" s="1" t="s">
        <v>91</v>
      </c>
      <c r="D15" s="1" t="s">
        <v>92</v>
      </c>
      <c r="E15" s="1" t="s">
        <v>93</v>
      </c>
      <c r="F15" s="1" t="s">
        <v>94</v>
      </c>
      <c r="G15">
        <f>COUNTIF(Attributes!A:A,objects!A6)</f>
        <v>42</v>
      </c>
      <c r="H15" t="s">
        <v>56</v>
      </c>
      <c r="I15">
        <v>5</v>
      </c>
      <c r="J15">
        <v>100</v>
      </c>
    </row>
    <row r="16" spans="1:15" ht="100.9">
      <c r="A16" s="29" t="s">
        <v>95</v>
      </c>
      <c r="B16" s="6" t="s">
        <v>16</v>
      </c>
      <c r="C16" s="1" t="s">
        <v>96</v>
      </c>
      <c r="D16" s="1" t="s">
        <v>30</v>
      </c>
      <c r="E16" s="1" t="s">
        <v>31</v>
      </c>
      <c r="F16" s="1" t="s">
        <v>97</v>
      </c>
      <c r="G16">
        <f>COUNTIF(Attributes!A:A,objects!A14)</f>
        <v>9</v>
      </c>
      <c r="H16" t="s">
        <v>98</v>
      </c>
      <c r="I16">
        <v>10</v>
      </c>
      <c r="N16" t="s">
        <v>74</v>
      </c>
    </row>
    <row r="17" spans="1:14" ht="57.6">
      <c r="A17" s="6" t="s">
        <v>99</v>
      </c>
      <c r="B17" s="6" t="s">
        <v>100</v>
      </c>
      <c r="C17" s="1" t="s">
        <v>101</v>
      </c>
      <c r="D17" s="1" t="s">
        <v>30</v>
      </c>
      <c r="E17" s="1" t="s">
        <v>31</v>
      </c>
      <c r="F17" s="1" t="s">
        <v>102</v>
      </c>
      <c r="G17">
        <f>COUNTIF(Attributes!A:A,objects!A15)</f>
        <v>8</v>
      </c>
      <c r="H17" t="s">
        <v>98</v>
      </c>
      <c r="I17">
        <v>11</v>
      </c>
      <c r="N17" t="s">
        <v>103</v>
      </c>
    </row>
    <row r="18" spans="1:14" ht="43.15">
      <c r="A18" s="6" t="s">
        <v>104</v>
      </c>
      <c r="B18" s="6" t="s">
        <v>100</v>
      </c>
      <c r="C18" s="1" t="s">
        <v>105</v>
      </c>
      <c r="D18" s="1" t="s">
        <v>30</v>
      </c>
      <c r="E18" s="1" t="s">
        <v>31</v>
      </c>
      <c r="F18" s="1" t="s">
        <v>106</v>
      </c>
      <c r="G18">
        <f>COUNTIF(Attributes!A:A,objects!A16)</f>
        <v>16</v>
      </c>
      <c r="H18" t="s">
        <v>98</v>
      </c>
      <c r="I18">
        <v>12</v>
      </c>
      <c r="N18" t="s">
        <v>103</v>
      </c>
    </row>
    <row r="19" spans="1:14" ht="54.75" customHeight="1">
      <c r="A19" s="2" t="s">
        <v>107</v>
      </c>
      <c r="B19" s="2" t="s">
        <v>63</v>
      </c>
      <c r="C19" s="4" t="s">
        <v>108</v>
      </c>
      <c r="D19" s="4" t="s">
        <v>109</v>
      </c>
      <c r="E19" s="4" t="s">
        <v>110</v>
      </c>
      <c r="F19" s="4" t="s">
        <v>111</v>
      </c>
      <c r="G19">
        <f>COUNTIF(Attributes!A:A,objects!A18)</f>
        <v>0</v>
      </c>
      <c r="H19" t="s">
        <v>56</v>
      </c>
      <c r="I19">
        <v>13</v>
      </c>
      <c r="J19">
        <v>1</v>
      </c>
      <c r="N19" t="s">
        <v>74</v>
      </c>
    </row>
    <row r="20" spans="1:14" ht="28.9">
      <c r="A20" s="2" t="s">
        <v>112</v>
      </c>
      <c r="B20" t="s">
        <v>51</v>
      </c>
      <c r="C20" s="15" t="s">
        <v>113</v>
      </c>
      <c r="D20" s="15" t="s">
        <v>114</v>
      </c>
      <c r="E20" s="15" t="s">
        <v>115</v>
      </c>
      <c r="F20" s="15" t="s">
        <v>116</v>
      </c>
      <c r="G20">
        <f>COUNTIF(Attributes!A:A,objects!A20)</f>
        <v>7</v>
      </c>
      <c r="H20" t="s">
        <v>56</v>
      </c>
      <c r="I20">
        <v>0</v>
      </c>
      <c r="N20" t="s">
        <v>74</v>
      </c>
    </row>
    <row r="21" spans="1:14" ht="43.15">
      <c r="A21" s="2" t="s">
        <v>117</v>
      </c>
      <c r="B21" t="s">
        <v>51</v>
      </c>
      <c r="C21" s="15" t="s">
        <v>118</v>
      </c>
      <c r="D21" s="15" t="s">
        <v>119</v>
      </c>
      <c r="E21" s="15" t="s">
        <v>120</v>
      </c>
      <c r="G21">
        <f>COUNTIF(Attributes!A:A,objects!A21)</f>
        <v>0</v>
      </c>
      <c r="H21" t="s">
        <v>98</v>
      </c>
      <c r="N21" t="s">
        <v>74</v>
      </c>
    </row>
    <row r="22" spans="1:14" ht="28.9">
      <c r="A22" s="2" t="s">
        <v>121</v>
      </c>
      <c r="B22" t="s">
        <v>16</v>
      </c>
      <c r="C22" s="15" t="s">
        <v>122</v>
      </c>
      <c r="D22" s="15" t="s">
        <v>123</v>
      </c>
      <c r="E22" s="15" t="s">
        <v>124</v>
      </c>
      <c r="F22" s="15" t="s">
        <v>125</v>
      </c>
      <c r="G22">
        <f>COUNTIF(Attributes!A:A,objects!A22)</f>
        <v>8</v>
      </c>
      <c r="H22" t="s">
        <v>98</v>
      </c>
      <c r="N22" t="s">
        <v>74</v>
      </c>
    </row>
    <row r="23" spans="1:14" ht="28.9">
      <c r="A23" s="2" t="s">
        <v>126</v>
      </c>
      <c r="B23" t="s">
        <v>16</v>
      </c>
      <c r="C23" s="15" t="s">
        <v>127</v>
      </c>
      <c r="D23" s="15" t="s">
        <v>128</v>
      </c>
      <c r="E23" s="15" t="s">
        <v>129</v>
      </c>
      <c r="F23" s="15" t="s">
        <v>130</v>
      </c>
      <c r="H23" t="s">
        <v>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AD4F9-4E3A-41DA-9532-E435FAC78061}">
  <dimension ref="A1:O340"/>
  <sheetViews>
    <sheetView zoomScale="99" zoomScaleNormal="115" workbookViewId="0">
      <pane xSplit="2" topLeftCell="C1" activePane="topRight" state="frozen"/>
      <selection pane="topRight" activeCell="A2" sqref="A2:A340"/>
      <selection activeCell="A2" sqref="A2"/>
    </sheetView>
  </sheetViews>
  <sheetFormatPr defaultRowHeight="14.45"/>
  <cols>
    <col min="1" max="1" width="29.140625" customWidth="1"/>
    <col min="2" max="2" width="37.85546875" customWidth="1"/>
    <col min="3" max="3" width="64.5703125" style="52" customWidth="1"/>
    <col min="4" max="4" width="36.5703125" bestFit="1" customWidth="1"/>
    <col min="5" max="5" width="46.42578125" customWidth="1"/>
    <col min="6" max="6" width="30.7109375" customWidth="1"/>
    <col min="7" max="7" width="83.42578125" style="15" customWidth="1"/>
    <col min="8" max="8" width="12.42578125" bestFit="1" customWidth="1"/>
    <col min="9" max="9" width="19.7109375" bestFit="1" customWidth="1"/>
    <col min="10" max="11" width="20.7109375" customWidth="1"/>
    <col min="12" max="12" width="20.28515625" customWidth="1"/>
    <col min="13" max="13" width="20.5703125" style="54" bestFit="1" customWidth="1"/>
    <col min="14" max="14" width="69.42578125" style="15" customWidth="1"/>
  </cols>
  <sheetData>
    <row r="1" spans="1:15">
      <c r="A1" s="2" t="s">
        <v>131</v>
      </c>
      <c r="B1" s="2" t="s">
        <v>0</v>
      </c>
      <c r="C1" s="51" t="s">
        <v>2</v>
      </c>
      <c r="D1" s="2" t="s">
        <v>132</v>
      </c>
      <c r="E1" s="2" t="s">
        <v>133</v>
      </c>
      <c r="F1" s="2" t="s">
        <v>134</v>
      </c>
      <c r="G1" s="22" t="s">
        <v>135</v>
      </c>
      <c r="H1" t="s">
        <v>136</v>
      </c>
      <c r="I1" t="s">
        <v>137</v>
      </c>
      <c r="J1" t="s">
        <v>138</v>
      </c>
      <c r="K1" t="s">
        <v>139</v>
      </c>
      <c r="L1" t="s">
        <v>140</v>
      </c>
      <c r="M1" s="54" t="s">
        <v>141</v>
      </c>
      <c r="N1" s="15" t="s">
        <v>142</v>
      </c>
      <c r="O1" t="s">
        <v>143</v>
      </c>
    </row>
    <row r="2" spans="1:15">
      <c r="A2" t="s">
        <v>50</v>
      </c>
      <c r="B2" t="s">
        <v>144</v>
      </c>
      <c r="C2" t="s">
        <v>145</v>
      </c>
      <c r="F2" t="s">
        <v>146</v>
      </c>
      <c r="J2" t="s">
        <v>147</v>
      </c>
      <c r="M2" s="54">
        <v>45937</v>
      </c>
      <c r="N2" t="s">
        <v>148</v>
      </c>
      <c r="O2" t="str">
        <f>_xlfn.XLOOKUP(Table1[[#This Row],[Name]],'Field name checks'!A:A,'Field name checks'!A:A,"Missing",0)</f>
        <v>Missing</v>
      </c>
    </row>
    <row r="3" spans="1:15">
      <c r="A3" t="s">
        <v>50</v>
      </c>
      <c r="B3" t="s">
        <v>149</v>
      </c>
      <c r="C3" t="s">
        <v>150</v>
      </c>
      <c r="F3" t="s">
        <v>151</v>
      </c>
      <c r="J3" t="s">
        <v>147</v>
      </c>
      <c r="M3" s="54">
        <v>45947</v>
      </c>
      <c r="N3" t="s">
        <v>152</v>
      </c>
      <c r="O3" t="str">
        <f>_xlfn.XLOOKUP(Table1[[#This Row],[Name]],'Field name checks'!A:A,'Field name checks'!A:A,"Missing",0)</f>
        <v>Missing</v>
      </c>
    </row>
    <row r="4" spans="1:15">
      <c r="A4" t="s">
        <v>50</v>
      </c>
      <c r="B4" t="s">
        <v>153</v>
      </c>
      <c r="C4" t="s">
        <v>154</v>
      </c>
      <c r="F4" t="s">
        <v>155</v>
      </c>
      <c r="J4" t="s">
        <v>147</v>
      </c>
      <c r="N4"/>
      <c r="O4" t="str">
        <f>_xlfn.XLOOKUP(Table1[[#This Row],[Name]],'Field name checks'!A:A,'Field name checks'!A:A,"Missing",0)</f>
        <v>Missing</v>
      </c>
    </row>
    <row r="5" spans="1:15" ht="86.45">
      <c r="A5" t="s">
        <v>50</v>
      </c>
      <c r="B5" t="s">
        <v>156</v>
      </c>
      <c r="C5" t="s">
        <v>157</v>
      </c>
      <c r="E5" t="s">
        <v>158</v>
      </c>
      <c r="F5" t="s">
        <v>159</v>
      </c>
      <c r="G5" s="15" t="s">
        <v>160</v>
      </c>
      <c r="J5" t="s">
        <v>147</v>
      </c>
      <c r="N5"/>
      <c r="O5" t="str">
        <f>_xlfn.XLOOKUP(Table1[[#This Row],[Name]],'Field name checks'!A:A,'Field name checks'!A:A,"Missing",0)</f>
        <v>Missing</v>
      </c>
    </row>
    <row r="6" spans="1:15">
      <c r="A6" t="s">
        <v>50</v>
      </c>
      <c r="B6" t="s">
        <v>161</v>
      </c>
      <c r="C6" t="s">
        <v>162</v>
      </c>
      <c r="F6" t="s">
        <v>163</v>
      </c>
      <c r="J6" t="s">
        <v>147</v>
      </c>
      <c r="N6"/>
      <c r="O6" t="str">
        <f>_xlfn.XLOOKUP(Table1[[#This Row],[Name]],'Field name checks'!A:A,'Field name checks'!A:A,"Missing",0)</f>
        <v>Missing</v>
      </c>
    </row>
    <row r="7" spans="1:15">
      <c r="A7" t="s">
        <v>50</v>
      </c>
      <c r="B7" t="s">
        <v>164</v>
      </c>
      <c r="C7" t="s">
        <v>165</v>
      </c>
      <c r="F7" t="s">
        <v>166</v>
      </c>
      <c r="J7" t="s">
        <v>147</v>
      </c>
      <c r="N7"/>
      <c r="O7" t="str">
        <f>_xlfn.XLOOKUP(Table1[[#This Row],[Name]],'Field name checks'!A:A,'Field name checks'!A:A,"Missing",0)</f>
        <v>Missing</v>
      </c>
    </row>
    <row r="8" spans="1:15">
      <c r="A8" t="s">
        <v>50</v>
      </c>
      <c r="B8" t="s">
        <v>167</v>
      </c>
      <c r="C8" t="s">
        <v>168</v>
      </c>
      <c r="F8" t="s">
        <v>169</v>
      </c>
      <c r="J8" t="s">
        <v>147</v>
      </c>
      <c r="N8"/>
      <c r="O8" t="str">
        <f>_xlfn.XLOOKUP(Table1[[#This Row],[Name]],'Field name checks'!A:A,'Field name checks'!A:A,"Missing",0)</f>
        <v>Missing</v>
      </c>
    </row>
    <row r="9" spans="1:15" ht="107.25" customHeight="1">
      <c r="A9" t="s">
        <v>50</v>
      </c>
      <c r="B9" t="s">
        <v>170</v>
      </c>
      <c r="C9" t="s">
        <v>171</v>
      </c>
      <c r="D9" t="s">
        <v>172</v>
      </c>
      <c r="F9" t="s">
        <v>159</v>
      </c>
      <c r="G9" s="15" t="s">
        <v>173</v>
      </c>
      <c r="J9" t="s">
        <v>147</v>
      </c>
      <c r="N9"/>
      <c r="O9" t="str">
        <f>_xlfn.XLOOKUP(Table1[[#This Row],[Name]],'Field name checks'!A:A,'Field name checks'!A:A,"Missing",0)</f>
        <v>Missing</v>
      </c>
    </row>
    <row r="10" spans="1:15">
      <c r="A10" t="s">
        <v>50</v>
      </c>
      <c r="B10" t="s">
        <v>174</v>
      </c>
      <c r="C10" t="s">
        <v>175</v>
      </c>
      <c r="D10" t="s">
        <v>172</v>
      </c>
      <c r="F10" t="s">
        <v>176</v>
      </c>
      <c r="J10" t="s">
        <v>147</v>
      </c>
      <c r="N10"/>
      <c r="O10" t="str">
        <f>_xlfn.XLOOKUP(Table1[[#This Row],[Name]],'Field name checks'!A:A,'Field name checks'!A:A,"Missing",0)</f>
        <v>Missing</v>
      </c>
    </row>
    <row r="11" spans="1:15">
      <c r="A11" t="s">
        <v>50</v>
      </c>
      <c r="B11" t="s">
        <v>177</v>
      </c>
      <c r="C11" t="s">
        <v>178</v>
      </c>
      <c r="D11" t="s">
        <v>172</v>
      </c>
      <c r="E11" t="s">
        <v>179</v>
      </c>
      <c r="F11" t="s">
        <v>180</v>
      </c>
      <c r="J11" t="s">
        <v>147</v>
      </c>
      <c r="N11"/>
      <c r="O11" t="str">
        <f>_xlfn.XLOOKUP(Table1[[#This Row],[Name]],'Field name checks'!A:A,'Field name checks'!A:A,"Missing",0)</f>
        <v>Missing</v>
      </c>
    </row>
    <row r="12" spans="1:15">
      <c r="A12" t="s">
        <v>50</v>
      </c>
      <c r="B12" t="s">
        <v>181</v>
      </c>
      <c r="C12" t="s">
        <v>182</v>
      </c>
      <c r="D12" t="s">
        <v>172</v>
      </c>
      <c r="E12" t="s">
        <v>179</v>
      </c>
      <c r="F12" t="s">
        <v>183</v>
      </c>
      <c r="J12" t="s">
        <v>147</v>
      </c>
      <c r="N12"/>
      <c r="O12" t="str">
        <f>_xlfn.XLOOKUP(Table1[[#This Row],[Name]],'Field name checks'!A:A,'Field name checks'!A:A,"Missing",0)</f>
        <v>Missing</v>
      </c>
    </row>
    <row r="13" spans="1:15" hidden="1">
      <c r="A13" t="s">
        <v>62</v>
      </c>
      <c r="B13" t="s">
        <v>184</v>
      </c>
      <c r="C13" t="s">
        <v>185</v>
      </c>
      <c r="F13" t="s">
        <v>186</v>
      </c>
      <c r="J13" t="s">
        <v>147</v>
      </c>
      <c r="M13"/>
      <c r="N13"/>
      <c r="O13" t="str">
        <f>_xlfn.XLOOKUP(Table1[[#This Row],[Name]],'Field name checks'!A:A,'Field name checks'!A:A,"Missing",0)</f>
        <v>Missing</v>
      </c>
    </row>
    <row r="14" spans="1:15" hidden="1">
      <c r="A14" t="s">
        <v>62</v>
      </c>
      <c r="B14" t="s">
        <v>144</v>
      </c>
      <c r="C14" t="s">
        <v>187</v>
      </c>
      <c r="F14" t="s">
        <v>188</v>
      </c>
      <c r="J14" t="s">
        <v>147</v>
      </c>
      <c r="M14"/>
      <c r="N14"/>
      <c r="O14" t="str">
        <f>_xlfn.XLOOKUP(Table1[[#This Row],[Name]],'Field name checks'!A:A,'Field name checks'!A:A,"Missing",0)</f>
        <v>Missing</v>
      </c>
    </row>
    <row r="15" spans="1:15" hidden="1">
      <c r="A15" t="s">
        <v>62</v>
      </c>
      <c r="B15" t="s">
        <v>189</v>
      </c>
      <c r="C15" t="s">
        <v>190</v>
      </c>
      <c r="F15" t="s">
        <v>188</v>
      </c>
      <c r="J15" t="s">
        <v>147</v>
      </c>
      <c r="M15"/>
      <c r="N15"/>
      <c r="O15" t="str">
        <f>_xlfn.XLOOKUP(Table1[[#This Row],[Name]],'Field name checks'!A:A,'Field name checks'!A:A,"Missing",0)</f>
        <v>Missing</v>
      </c>
    </row>
    <row r="16" spans="1:15" hidden="1">
      <c r="A16" t="s">
        <v>62</v>
      </c>
      <c r="B16" t="s">
        <v>191</v>
      </c>
      <c r="C16" t="s">
        <v>192</v>
      </c>
      <c r="F16" t="s">
        <v>193</v>
      </c>
      <c r="G16" s="15">
        <v>0.05</v>
      </c>
      <c r="J16" t="s">
        <v>147</v>
      </c>
      <c r="M16"/>
      <c r="N16"/>
      <c r="O16" t="str">
        <f>_xlfn.XLOOKUP(Table1[[#This Row],[Name]],'Field name checks'!A:A,'Field name checks'!A:A,"Missing",0)</f>
        <v>Missing</v>
      </c>
    </row>
    <row r="17" spans="1:15" hidden="1">
      <c r="A17" t="s">
        <v>194</v>
      </c>
      <c r="B17" t="s">
        <v>189</v>
      </c>
      <c r="C17" t="s">
        <v>195</v>
      </c>
      <c r="F17" t="s">
        <v>186</v>
      </c>
      <c r="J17" t="s">
        <v>196</v>
      </c>
      <c r="M17"/>
      <c r="N17"/>
      <c r="O17" t="str">
        <f>_xlfn.XLOOKUP(Table1[[#This Row],[Name]],'Field name checks'!A:A,'Field name checks'!A:A,"Missing",0)</f>
        <v>Missing</v>
      </c>
    </row>
    <row r="18" spans="1:15" hidden="1">
      <c r="A18" t="s">
        <v>194</v>
      </c>
      <c r="B18" t="s">
        <v>197</v>
      </c>
      <c r="C18" t="s">
        <v>198</v>
      </c>
      <c r="E18" t="s">
        <v>199</v>
      </c>
      <c r="F18" t="s">
        <v>200</v>
      </c>
      <c r="G18" s="15" t="s">
        <v>201</v>
      </c>
      <c r="J18" t="s">
        <v>196</v>
      </c>
      <c r="M18"/>
      <c r="N18"/>
      <c r="O18" t="str">
        <f>_xlfn.XLOOKUP(Table1[[#This Row],[Name]],'Field name checks'!A:A,'Field name checks'!A:A,"Missing",0)</f>
        <v>Missing</v>
      </c>
    </row>
    <row r="19" spans="1:15" hidden="1">
      <c r="A19" t="s">
        <v>194</v>
      </c>
      <c r="B19" t="s">
        <v>202</v>
      </c>
      <c r="C19" t="s">
        <v>203</v>
      </c>
      <c r="F19" t="s">
        <v>204</v>
      </c>
      <c r="J19" t="s">
        <v>196</v>
      </c>
      <c r="M19"/>
      <c r="N19"/>
      <c r="O19" t="str">
        <f>_xlfn.XLOOKUP(Table1[[#This Row],[Name]],'Field name checks'!A:A,'Field name checks'!A:A,"Missing",0)</f>
        <v>Missing</v>
      </c>
    </row>
    <row r="20" spans="1:15" hidden="1">
      <c r="A20" t="s">
        <v>194</v>
      </c>
      <c r="B20" t="s">
        <v>205</v>
      </c>
      <c r="C20" t="s">
        <v>206</v>
      </c>
      <c r="F20" t="s">
        <v>204</v>
      </c>
      <c r="J20" t="s">
        <v>196</v>
      </c>
      <c r="M20"/>
      <c r="N20"/>
      <c r="O20" t="str">
        <f>_xlfn.XLOOKUP(Table1[[#This Row],[Name]],'Field name checks'!A:A,'Field name checks'!A:A,"Missing",0)</f>
        <v>Missing</v>
      </c>
    </row>
    <row r="21" spans="1:15" hidden="1">
      <c r="A21" t="s">
        <v>194</v>
      </c>
      <c r="B21" t="s">
        <v>207</v>
      </c>
      <c r="C21" t="s">
        <v>208</v>
      </c>
      <c r="E21" t="s">
        <v>209</v>
      </c>
      <c r="F21" t="s">
        <v>159</v>
      </c>
      <c r="J21" t="s">
        <v>196</v>
      </c>
      <c r="M21"/>
      <c r="N21"/>
      <c r="O21" t="str">
        <f>_xlfn.XLOOKUP(Table1[[#This Row],[Name]],'Field name checks'!A:A,'Field name checks'!A:A,"Missing",0)</f>
        <v>Missing</v>
      </c>
    </row>
    <row r="22" spans="1:15" ht="43.15" hidden="1">
      <c r="A22" t="s">
        <v>194</v>
      </c>
      <c r="B22" t="s">
        <v>210</v>
      </c>
      <c r="C22" s="4" t="s">
        <v>211</v>
      </c>
      <c r="D22" s="3" t="s">
        <v>212</v>
      </c>
      <c r="E22" s="5" t="s">
        <v>213</v>
      </c>
      <c r="F22" t="s">
        <v>159</v>
      </c>
      <c r="G22" s="5" t="s">
        <v>214</v>
      </c>
      <c r="J22" t="s">
        <v>196</v>
      </c>
      <c r="M22"/>
      <c r="N22"/>
      <c r="O22" t="str">
        <f>_xlfn.XLOOKUP(Table1[[#This Row],[Name]],'Field name checks'!A:A,'Field name checks'!A:A,"Missing",0)</f>
        <v>Missing</v>
      </c>
    </row>
    <row r="23" spans="1:15" hidden="1">
      <c r="A23" t="s">
        <v>194</v>
      </c>
      <c r="B23" t="s">
        <v>215</v>
      </c>
      <c r="C23" t="s">
        <v>216</v>
      </c>
      <c r="F23" t="s">
        <v>159</v>
      </c>
      <c r="G23" s="5" t="s">
        <v>217</v>
      </c>
      <c r="J23" t="s">
        <v>196</v>
      </c>
      <c r="M23"/>
      <c r="N23"/>
      <c r="O23" t="str">
        <f>_xlfn.XLOOKUP(Table1[[#This Row],[Name]],'Field name checks'!A:A,'Field name checks'!A:A,"Missing",0)</f>
        <v>Missing</v>
      </c>
    </row>
    <row r="24" spans="1:15" hidden="1">
      <c r="A24" t="s">
        <v>194</v>
      </c>
      <c r="B24" t="s">
        <v>218</v>
      </c>
      <c r="C24" t="s">
        <v>219</v>
      </c>
      <c r="F24" t="s">
        <v>200</v>
      </c>
      <c r="G24" s="15" t="s">
        <v>220</v>
      </c>
      <c r="J24" t="s">
        <v>196</v>
      </c>
      <c r="M24"/>
      <c r="N24"/>
      <c r="O24" t="str">
        <f>_xlfn.XLOOKUP(Table1[[#This Row],[Name]],'Field name checks'!A:A,'Field name checks'!A:A,"Missing",0)</f>
        <v>Missing</v>
      </c>
    </row>
    <row r="25" spans="1:15" hidden="1">
      <c r="A25" t="s">
        <v>90</v>
      </c>
      <c r="B25" t="s">
        <v>221</v>
      </c>
      <c r="C25"/>
      <c r="M25"/>
      <c r="N25"/>
      <c r="O25" t="str">
        <f>_xlfn.XLOOKUP(Table1[[#This Row],[Name]],'Field name checks'!A:A,'Field name checks'!A:A,"Missing",0)</f>
        <v>Missing</v>
      </c>
    </row>
    <row r="26" spans="1:15" hidden="1">
      <c r="A26" t="s">
        <v>90</v>
      </c>
      <c r="B26" t="s">
        <v>222</v>
      </c>
      <c r="C26" t="s">
        <v>223</v>
      </c>
      <c r="M26"/>
      <c r="N26"/>
      <c r="O26" t="str">
        <f>_xlfn.XLOOKUP(Table1[[#This Row],[Name]],'Field name checks'!A:A,'Field name checks'!A:A,"Missing",0)</f>
        <v>Missing</v>
      </c>
    </row>
    <row r="27" spans="1:15" hidden="1">
      <c r="A27" t="s">
        <v>90</v>
      </c>
      <c r="B27" t="s">
        <v>224</v>
      </c>
      <c r="C27" t="s">
        <v>225</v>
      </c>
      <c r="M27"/>
      <c r="N27"/>
      <c r="O27" t="str">
        <f>_xlfn.XLOOKUP(Table1[[#This Row],[Name]],'Field name checks'!A:A,'Field name checks'!A:A,"Missing",0)</f>
        <v>Missing</v>
      </c>
    </row>
    <row r="28" spans="1:15" hidden="1">
      <c r="A28" t="s">
        <v>90</v>
      </c>
      <c r="B28" t="s">
        <v>226</v>
      </c>
      <c r="C28" t="s">
        <v>227</v>
      </c>
      <c r="M28"/>
      <c r="N28"/>
      <c r="O28" t="str">
        <f>_xlfn.XLOOKUP(Table1[[#This Row],[Name]],'Field name checks'!A:A,'Field name checks'!A:A,"Missing",0)</f>
        <v>Missing</v>
      </c>
    </row>
    <row r="29" spans="1:15" hidden="1">
      <c r="A29" t="s">
        <v>90</v>
      </c>
      <c r="B29" t="s">
        <v>228</v>
      </c>
      <c r="C29" t="s">
        <v>229</v>
      </c>
      <c r="M29"/>
      <c r="N29"/>
      <c r="O29" t="str">
        <f>_xlfn.XLOOKUP(Table1[[#This Row],[Name]],'Field name checks'!A:A,'Field name checks'!A:A,"Missing",0)</f>
        <v>Missing</v>
      </c>
    </row>
    <row r="30" spans="1:15" hidden="1">
      <c r="A30" s="3" t="s">
        <v>90</v>
      </c>
      <c r="B30" s="3" t="s">
        <v>230</v>
      </c>
      <c r="C30" s="3" t="s">
        <v>231</v>
      </c>
      <c r="D30" s="3" t="s">
        <v>232</v>
      </c>
      <c r="E30" s="3" t="s">
        <v>233</v>
      </c>
      <c r="F30" s="3"/>
      <c r="G30" s="5"/>
      <c r="H30" s="3"/>
      <c r="I30" s="3"/>
      <c r="J30" s="3"/>
      <c r="K30" s="3"/>
      <c r="M30"/>
      <c r="N30"/>
      <c r="O30" t="str">
        <f>_xlfn.XLOOKUP(Table1[[#This Row],[Name]],'Field name checks'!A:A,'Field name checks'!A:A,"Missing",0)</f>
        <v>Missing</v>
      </c>
    </row>
    <row r="31" spans="1:15" hidden="1">
      <c r="A31" t="s">
        <v>90</v>
      </c>
      <c r="B31" t="s">
        <v>234</v>
      </c>
      <c r="C31" t="s">
        <v>235</v>
      </c>
      <c r="M31"/>
      <c r="N31"/>
      <c r="O31" t="str">
        <f>_xlfn.XLOOKUP(Table1[[#This Row],[Name]],'Field name checks'!A:A,'Field name checks'!A:A,"Missing",0)</f>
        <v>Missing</v>
      </c>
    </row>
    <row r="32" spans="1:15" hidden="1">
      <c r="A32" t="s">
        <v>90</v>
      </c>
      <c r="B32" t="s">
        <v>236</v>
      </c>
      <c r="C32" t="s">
        <v>237</v>
      </c>
      <c r="M32"/>
      <c r="N32"/>
      <c r="O32" t="str">
        <f>_xlfn.XLOOKUP(Table1[[#This Row],[Name]],'Field name checks'!A:A,'Field name checks'!A:A,"Missing",0)</f>
        <v>Missing</v>
      </c>
    </row>
    <row r="33" spans="1:15" hidden="1">
      <c r="A33" t="s">
        <v>68</v>
      </c>
      <c r="B33" t="s">
        <v>238</v>
      </c>
      <c r="C33" t="s">
        <v>239</v>
      </c>
      <c r="F33" t="s">
        <v>186</v>
      </c>
      <c r="J33" t="s">
        <v>147</v>
      </c>
      <c r="M33"/>
      <c r="N33"/>
      <c r="O33" t="str">
        <f>_xlfn.XLOOKUP(Table1[[#This Row],[Name]],'Field name checks'!A:A,'Field name checks'!A:A,"Missing",0)</f>
        <v>campaign_id</v>
      </c>
    </row>
    <row r="34" spans="1:15" hidden="1">
      <c r="A34" t="s">
        <v>68</v>
      </c>
      <c r="B34" t="s">
        <v>240</v>
      </c>
      <c r="C34" t="s">
        <v>241</v>
      </c>
      <c r="E34" t="s">
        <v>242</v>
      </c>
      <c r="F34" t="s">
        <v>200</v>
      </c>
      <c r="J34" t="s">
        <v>147</v>
      </c>
      <c r="M34"/>
      <c r="N34"/>
      <c r="O34" t="str">
        <f>_xlfn.XLOOKUP(Table1[[#This Row],[Name]],'Field name checks'!A:A,'Field name checks'!A:A,"Missing",0)</f>
        <v>campaign_name</v>
      </c>
    </row>
    <row r="35" spans="1:15" hidden="1">
      <c r="A35" t="s">
        <v>68</v>
      </c>
      <c r="B35" t="s">
        <v>243</v>
      </c>
      <c r="C35" s="56" t="s">
        <v>244</v>
      </c>
      <c r="M35" s="49">
        <v>45959</v>
      </c>
      <c r="N35" t="s">
        <v>245</v>
      </c>
      <c r="O35" t="str">
        <f>_xlfn.XLOOKUP(Table1[[#This Row],[Name]],'Field name checks'!A:A,'Field name checks'!A:A,"Missing",0)</f>
        <v>dmo_monday_id</v>
      </c>
    </row>
    <row r="36" spans="1:15" hidden="1">
      <c r="A36" t="s">
        <v>68</v>
      </c>
      <c r="B36" t="s">
        <v>246</v>
      </c>
      <c r="C36" s="15" t="s">
        <v>247</v>
      </c>
      <c r="E36" t="s">
        <v>248</v>
      </c>
      <c r="G36" s="15" t="s">
        <v>249</v>
      </c>
      <c r="M36" s="49">
        <v>45959</v>
      </c>
      <c r="N36" t="s">
        <v>245</v>
      </c>
      <c r="O36" t="str">
        <f>_xlfn.XLOOKUP(Table1[[#This Row],[Name]],'Field name checks'!A:A,'Field name checks'!A:A,"Missing",0)</f>
        <v>activity_status</v>
      </c>
    </row>
    <row r="37" spans="1:15" hidden="1">
      <c r="A37" t="s">
        <v>68</v>
      </c>
      <c r="B37" t="s">
        <v>250</v>
      </c>
      <c r="C37" s="15" t="s">
        <v>251</v>
      </c>
      <c r="E37" t="s">
        <v>242</v>
      </c>
      <c r="M37" s="49">
        <v>45959</v>
      </c>
      <c r="N37" t="s">
        <v>245</v>
      </c>
      <c r="O37" t="str">
        <f>_xlfn.XLOOKUP(Table1[[#This Row],[Name]],'Field name checks'!A:A,'Field name checks'!A:A,"Missing",0)</f>
        <v>marketing_lead_name</v>
      </c>
    </row>
    <row r="38" spans="1:15" hidden="1">
      <c r="A38" t="s">
        <v>68</v>
      </c>
      <c r="B38" t="s">
        <v>252</v>
      </c>
      <c r="C38" s="15" t="s">
        <v>253</v>
      </c>
      <c r="E38" t="s">
        <v>254</v>
      </c>
      <c r="M38" s="49">
        <v>45959</v>
      </c>
      <c r="N38" t="s">
        <v>245</v>
      </c>
      <c r="O38" t="str">
        <f>_xlfn.XLOOKUP(Table1[[#This Row],[Name]],'Field name checks'!A:A,'Field name checks'!A:A,"Missing",0)</f>
        <v>contributer_name</v>
      </c>
    </row>
    <row r="39" spans="1:15" hidden="1">
      <c r="A39" t="s">
        <v>68</v>
      </c>
      <c r="B39" t="s">
        <v>255</v>
      </c>
      <c r="C39" s="15" t="s">
        <v>256</v>
      </c>
      <c r="E39" t="s">
        <v>254</v>
      </c>
      <c r="M39" s="49">
        <v>45959</v>
      </c>
      <c r="N39" t="s">
        <v>245</v>
      </c>
      <c r="O39" t="str">
        <f>_xlfn.XLOOKUP(Table1[[#This Row],[Name]],'Field name checks'!A:A,'Field name checks'!A:A,"Missing",0)</f>
        <v>campaign_planned_start_date</v>
      </c>
    </row>
    <row r="40" spans="1:15" hidden="1">
      <c r="A40" t="s">
        <v>68</v>
      </c>
      <c r="B40" t="s">
        <v>257</v>
      </c>
      <c r="C40" t="s">
        <v>258</v>
      </c>
      <c r="E40" t="s">
        <v>254</v>
      </c>
      <c r="M40" s="49">
        <v>45959</v>
      </c>
      <c r="N40" t="s">
        <v>245</v>
      </c>
      <c r="O40" t="str">
        <f>_xlfn.XLOOKUP(Table1[[#This Row],[Name]],'Field name checks'!A:A,'Field name checks'!A:A,"Missing",0)</f>
        <v>campaign_live_date</v>
      </c>
    </row>
    <row r="41" spans="1:15" hidden="1">
      <c r="A41" t="s">
        <v>68</v>
      </c>
      <c r="B41" t="s">
        <v>259</v>
      </c>
      <c r="C41" t="s">
        <v>260</v>
      </c>
      <c r="E41" t="s">
        <v>242</v>
      </c>
      <c r="M41" s="49">
        <v>45967</v>
      </c>
      <c r="N41" t="s">
        <v>261</v>
      </c>
      <c r="O41" t="str">
        <f>_xlfn.XLOOKUP(Table1[[#This Row],[Name]],'Field name checks'!A:A,'Field name checks'!A:A,"Missing",0)</f>
        <v>engaged_team_name</v>
      </c>
    </row>
    <row r="42" spans="1:15" hidden="1">
      <c r="A42" t="s">
        <v>68</v>
      </c>
      <c r="B42" t="s">
        <v>262</v>
      </c>
      <c r="C42" t="s">
        <v>263</v>
      </c>
      <c r="E42" t="s">
        <v>264</v>
      </c>
      <c r="M42" s="49">
        <v>45959</v>
      </c>
      <c r="N42" t="s">
        <v>245</v>
      </c>
      <c r="O42" t="str">
        <f>_xlfn.XLOOKUP(Table1[[#This Row],[Name]],'Field name checks'!A:A,'Field name checks'!A:A,"Missing",0)</f>
        <v>campaign_summary</v>
      </c>
    </row>
    <row r="43" spans="1:15" hidden="1">
      <c r="A43" t="s">
        <v>68</v>
      </c>
      <c r="B43" t="s">
        <v>265</v>
      </c>
      <c r="C43" t="s">
        <v>266</v>
      </c>
      <c r="E43" t="s">
        <v>242</v>
      </c>
      <c r="M43" s="49">
        <v>45959</v>
      </c>
      <c r="N43" t="s">
        <v>245</v>
      </c>
      <c r="O43" t="str">
        <f>_xlfn.XLOOKUP(Table1[[#This Row],[Name]],'Field name checks'!A:A,'Field name checks'!A:A,"Missing",0)</f>
        <v>engagement_stage_classification</v>
      </c>
    </row>
    <row r="44" spans="1:15" hidden="1">
      <c r="A44" t="s">
        <v>68</v>
      </c>
      <c r="B44" t="s">
        <v>267</v>
      </c>
      <c r="C44" t="s">
        <v>268</v>
      </c>
      <c r="E44" t="s">
        <v>242</v>
      </c>
      <c r="M44" s="49">
        <v>45959</v>
      </c>
      <c r="N44" t="s">
        <v>245</v>
      </c>
      <c r="O44" t="str">
        <f>_xlfn.XLOOKUP(Table1[[#This Row],[Name]],'Field name checks'!A:A,'Field name checks'!A:A,"Missing",0)</f>
        <v>activity_type</v>
      </c>
    </row>
    <row r="45" spans="1:15" hidden="1">
      <c r="A45" t="s">
        <v>68</v>
      </c>
      <c r="B45" t="s">
        <v>269</v>
      </c>
      <c r="C45" t="s">
        <v>270</v>
      </c>
      <c r="E45" t="s">
        <v>271</v>
      </c>
      <c r="F45" t="s">
        <v>272</v>
      </c>
      <c r="G45" s="15" t="s">
        <v>273</v>
      </c>
      <c r="M45" s="49">
        <v>45967</v>
      </c>
      <c r="N45" t="s">
        <v>261</v>
      </c>
      <c r="O45" t="str">
        <f>_xlfn.XLOOKUP(Table1[[#This Row],[Name]],'Field name checks'!A:A,'Field name checks'!A:A,"Missing",0)</f>
        <v>impacted_segment_name</v>
      </c>
    </row>
    <row r="46" spans="1:15" hidden="1">
      <c r="A46" t="s">
        <v>68</v>
      </c>
      <c r="B46" s="15" t="s">
        <v>274</v>
      </c>
      <c r="C46" t="s">
        <v>275</v>
      </c>
      <c r="E46" t="s">
        <v>242</v>
      </c>
      <c r="M46" s="49">
        <v>45967</v>
      </c>
      <c r="N46" t="s">
        <v>261</v>
      </c>
      <c r="O46" t="str">
        <f>_xlfn.XLOOKUP(Table1[[#This Row],[Name]],'Field name checks'!A:A,'Field name checks'!A:A,"Missing",0)</f>
        <v>campaign_theme_name</v>
      </c>
    </row>
    <row r="47" spans="1:15" hidden="1">
      <c r="A47" t="s">
        <v>68</v>
      </c>
      <c r="B47" t="s">
        <v>276</v>
      </c>
      <c r="C47" t="s">
        <v>277</v>
      </c>
      <c r="E47" t="s">
        <v>242</v>
      </c>
      <c r="M47" s="49">
        <v>45959</v>
      </c>
      <c r="N47" t="s">
        <v>245</v>
      </c>
      <c r="O47" t="str">
        <f>_xlfn.XLOOKUP(Table1[[#This Row],[Name]],'Field name checks'!A:A,'Field name checks'!A:A,"Missing",0)</f>
        <v>product_area</v>
      </c>
    </row>
    <row r="48" spans="1:15" hidden="1">
      <c r="A48" t="s">
        <v>68</v>
      </c>
      <c r="B48" t="s">
        <v>278</v>
      </c>
      <c r="C48" t="s">
        <v>279</v>
      </c>
      <c r="E48" t="s">
        <v>280</v>
      </c>
      <c r="M48" s="49">
        <v>45967</v>
      </c>
      <c r="N48" t="s">
        <v>261</v>
      </c>
      <c r="O48" t="str">
        <f>_xlfn.XLOOKUP(Table1[[#This Row],[Name]],'Field name checks'!A:A,'Field name checks'!A:A,"Missing",0)</f>
        <v>impacted_region</v>
      </c>
    </row>
    <row r="49" spans="1:15" hidden="1">
      <c r="A49" t="s">
        <v>68</v>
      </c>
      <c r="B49" t="s">
        <v>281</v>
      </c>
      <c r="C49" t="s">
        <v>282</v>
      </c>
      <c r="E49" t="s">
        <v>242</v>
      </c>
      <c r="M49" s="49">
        <v>45959</v>
      </c>
      <c r="N49" t="s">
        <v>245</v>
      </c>
      <c r="O49" t="str">
        <f>_xlfn.XLOOKUP(Table1[[#This Row],[Name]],'Field name checks'!A:A,'Field name checks'!A:A,"Missing",0)</f>
        <v>strategic_pillar</v>
      </c>
    </row>
    <row r="50" spans="1:15" hidden="1">
      <c r="A50" t="s">
        <v>68</v>
      </c>
      <c r="B50" t="s">
        <v>283</v>
      </c>
      <c r="C50" s="56" t="s">
        <v>284</v>
      </c>
      <c r="E50" t="s">
        <v>242</v>
      </c>
      <c r="M50" s="49">
        <v>45967</v>
      </c>
      <c r="N50" t="s">
        <v>261</v>
      </c>
      <c r="O50" t="str">
        <f>_xlfn.XLOOKUP(Table1[[#This Row],[Name]],'Field name checks'!A:A,'Field name checks'!A:A,"Missing",0)</f>
        <v>campaign_purpose</v>
      </c>
    </row>
    <row r="51" spans="1:15" hidden="1">
      <c r="A51" t="s">
        <v>68</v>
      </c>
      <c r="B51" t="s">
        <v>285</v>
      </c>
      <c r="C51" s="15" t="s">
        <v>286</v>
      </c>
      <c r="E51" t="s">
        <v>287</v>
      </c>
      <c r="M51" s="49">
        <v>45967</v>
      </c>
      <c r="N51" t="s">
        <v>261</v>
      </c>
      <c r="O51" t="str">
        <f>_xlfn.XLOOKUP(Table1[[#This Row],[Name]],'Field name checks'!A:A,'Field name checks'!A:A,"Missing",0)</f>
        <v>business_vertical</v>
      </c>
    </row>
    <row r="52" spans="1:15" hidden="1">
      <c r="A52" t="s">
        <v>68</v>
      </c>
      <c r="B52" t="s">
        <v>288</v>
      </c>
      <c r="C52" s="57" t="s">
        <v>289</v>
      </c>
      <c r="E52" t="s">
        <v>242</v>
      </c>
      <c r="M52" s="49">
        <v>45967</v>
      </c>
      <c r="N52" t="s">
        <v>261</v>
      </c>
      <c r="O52" t="str">
        <f>_xlfn.XLOOKUP(Table1[[#This Row],[Name]],'Field name checks'!A:A,'Field name checks'!A:A,"Missing",0)</f>
        <v>partner_name</v>
      </c>
    </row>
    <row r="53" spans="1:15" hidden="1">
      <c r="A53" t="s">
        <v>68</v>
      </c>
      <c r="B53" t="s">
        <v>290</v>
      </c>
      <c r="C53" s="57" t="s">
        <v>291</v>
      </c>
      <c r="E53" t="s">
        <v>242</v>
      </c>
      <c r="M53" s="49">
        <v>45967</v>
      </c>
      <c r="N53" t="s">
        <v>261</v>
      </c>
      <c r="O53" t="str">
        <f>_xlfn.XLOOKUP(Table1[[#This Row],[Name]],'Field name checks'!A:A,'Field name checks'!A:A,"Missing",0)</f>
        <v>agency_support_ind</v>
      </c>
    </row>
    <row r="54" spans="1:15" hidden="1">
      <c r="A54" t="s">
        <v>68</v>
      </c>
      <c r="B54" t="s">
        <v>292</v>
      </c>
      <c r="C54" s="57" t="s">
        <v>293</v>
      </c>
      <c r="E54" t="s">
        <v>242</v>
      </c>
      <c r="M54" s="49">
        <v>45959</v>
      </c>
      <c r="N54" t="s">
        <v>245</v>
      </c>
      <c r="O54" t="str">
        <f>_xlfn.XLOOKUP(Table1[[#This Row],[Name]],'Field name checks'!A:A,'Field name checks'!A:A,"Missing",0)</f>
        <v>agency_name</v>
      </c>
    </row>
    <row r="55" spans="1:15" hidden="1">
      <c r="A55" t="s">
        <v>68</v>
      </c>
      <c r="B55" t="s">
        <v>294</v>
      </c>
      <c r="C55" s="15" t="s">
        <v>295</v>
      </c>
      <c r="D55" t="s">
        <v>296</v>
      </c>
      <c r="E55" t="s">
        <v>242</v>
      </c>
      <c r="G55" s="15" t="s">
        <v>297</v>
      </c>
      <c r="J55" t="s">
        <v>147</v>
      </c>
      <c r="M55" s="49">
        <v>45967</v>
      </c>
      <c r="N55" t="s">
        <v>261</v>
      </c>
      <c r="O55" t="str">
        <f>_xlfn.XLOOKUP(Table1[[#This Row],[Name]],'Field name checks'!A:A,'Field name checks'!A:A,"Missing",0)</f>
        <v>brand_name</v>
      </c>
    </row>
    <row r="56" spans="1:15" hidden="1">
      <c r="A56" t="s">
        <v>68</v>
      </c>
      <c r="B56" t="s">
        <v>298</v>
      </c>
      <c r="C56" s="15" t="s">
        <v>299</v>
      </c>
      <c r="E56" t="s">
        <v>300</v>
      </c>
      <c r="M56" s="49">
        <v>45959</v>
      </c>
      <c r="N56" t="s">
        <v>245</v>
      </c>
      <c r="O56" t="str">
        <f>_xlfn.XLOOKUP(Table1[[#This Row],[Name]],'Field name checks'!A:A,'Field name checks'!A:A,"Missing",0)</f>
        <v>estimated_outcome_gross_margin</v>
      </c>
    </row>
    <row r="57" spans="1:15" hidden="1">
      <c r="A57" t="s">
        <v>68</v>
      </c>
      <c r="B57" t="s">
        <v>301</v>
      </c>
      <c r="C57" s="15" t="s">
        <v>302</v>
      </c>
      <c r="E57" t="s">
        <v>300</v>
      </c>
      <c r="M57" s="49">
        <v>45959</v>
      </c>
      <c r="N57" t="s">
        <v>245</v>
      </c>
      <c r="O57" t="str">
        <f>_xlfn.XLOOKUP(Table1[[#This Row],[Name]],'Field name checks'!A:A,'Field name checks'!A:A,"Missing",0)</f>
        <v>estimated_outcome_sov</v>
      </c>
    </row>
    <row r="58" spans="1:15" hidden="1">
      <c r="A58" t="s">
        <v>68</v>
      </c>
      <c r="B58" t="s">
        <v>303</v>
      </c>
      <c r="C58" s="15" t="s">
        <v>304</v>
      </c>
      <c r="E58" t="s">
        <v>300</v>
      </c>
      <c r="M58" s="49">
        <v>45959</v>
      </c>
      <c r="N58" t="s">
        <v>245</v>
      </c>
      <c r="O58" t="str">
        <f>_xlfn.XLOOKUP(Table1[[#This Row],[Name]],'Field name checks'!A:A,'Field name checks'!A:A,"Missing",0)</f>
        <v>estimated_outcome_roix1</v>
      </c>
    </row>
    <row r="59" spans="1:15" hidden="1">
      <c r="A59" t="s">
        <v>68</v>
      </c>
      <c r="B59" t="s">
        <v>305</v>
      </c>
      <c r="C59" s="15" t="s">
        <v>306</v>
      </c>
      <c r="M59" s="49">
        <v>45959</v>
      </c>
      <c r="N59" t="s">
        <v>245</v>
      </c>
      <c r="O59" t="str">
        <f>_xlfn.XLOOKUP(Table1[[#This Row],[Name]],'Field name checks'!A:A,'Field name checks'!A:A,"Missing",0)</f>
        <v>overall_timeline_start</v>
      </c>
    </row>
    <row r="60" spans="1:15" hidden="1">
      <c r="A60" t="s">
        <v>68</v>
      </c>
      <c r="B60" t="s">
        <v>307</v>
      </c>
      <c r="C60" s="15" t="s">
        <v>306</v>
      </c>
      <c r="M60" s="49">
        <v>45959</v>
      </c>
      <c r="N60" t="s">
        <v>245</v>
      </c>
      <c r="O60" t="str">
        <f>_xlfn.XLOOKUP(Table1[[#This Row],[Name]],'Field name checks'!A:A,'Field name checks'!A:A,"Missing",0)</f>
        <v>overall_timeline_end</v>
      </c>
    </row>
    <row r="61" spans="1:15" hidden="1">
      <c r="A61" t="s">
        <v>68</v>
      </c>
      <c r="B61" t="s">
        <v>308</v>
      </c>
      <c r="C61" s="15" t="s">
        <v>309</v>
      </c>
      <c r="M61" s="49">
        <v>45959</v>
      </c>
      <c r="N61" t="s">
        <v>245</v>
      </c>
      <c r="O61" t="str">
        <f>_xlfn.XLOOKUP(Table1[[#This Row],[Name]],'Field name checks'!A:A,'Field name checks'!A:A,"Missing",0)</f>
        <v>outcome_linear_roi_flag</v>
      </c>
    </row>
    <row r="62" spans="1:15" hidden="1">
      <c r="A62" t="s">
        <v>68</v>
      </c>
      <c r="B62" t="s">
        <v>310</v>
      </c>
      <c r="C62" t="s">
        <v>311</v>
      </c>
      <c r="F62" t="s">
        <v>204</v>
      </c>
      <c r="J62" t="s">
        <v>196</v>
      </c>
      <c r="M62" s="49">
        <v>45959</v>
      </c>
      <c r="N62" t="s">
        <v>245</v>
      </c>
      <c r="O62" t="str">
        <f>_xlfn.XLOOKUP(Table1[[#This Row],[Name]],'Field name checks'!A:A,'Field name checks'!A:A,"Missing",0)</f>
        <v>monday_record_creation_dtm</v>
      </c>
    </row>
    <row r="63" spans="1:15" hidden="1">
      <c r="A63" t="s">
        <v>68</v>
      </c>
      <c r="B63" t="s">
        <v>312</v>
      </c>
      <c r="C63" t="s">
        <v>313</v>
      </c>
      <c r="D63" t="s">
        <v>314</v>
      </c>
      <c r="E63" t="s">
        <v>315</v>
      </c>
      <c r="F63" t="s">
        <v>316</v>
      </c>
      <c r="J63" t="s">
        <v>147</v>
      </c>
      <c r="M63"/>
      <c r="N63"/>
      <c r="O63" t="str">
        <f>_xlfn.XLOOKUP(Table1[[#This Row],[Name]],'Field name checks'!A:A,'Field name checks'!A:A,"Missing",0)</f>
        <v>Missing</v>
      </c>
    </row>
    <row r="64" spans="1:15" hidden="1">
      <c r="A64" t="s">
        <v>68</v>
      </c>
      <c r="B64" t="s">
        <v>317</v>
      </c>
      <c r="C64" s="1" t="s">
        <v>318</v>
      </c>
      <c r="F64" t="s">
        <v>319</v>
      </c>
      <c r="J64" t="s">
        <v>147</v>
      </c>
      <c r="M64"/>
      <c r="N64"/>
      <c r="O64" t="str">
        <f>_xlfn.XLOOKUP(Table1[[#This Row],[Name]],'Field name checks'!A:A,'Field name checks'!A:A,"Missing",0)</f>
        <v>Missing</v>
      </c>
    </row>
    <row r="65" spans="1:15" hidden="1">
      <c r="A65" t="s">
        <v>68</v>
      </c>
      <c r="B65" t="s">
        <v>320</v>
      </c>
      <c r="C65" s="1" t="s">
        <v>321</v>
      </c>
      <c r="F65" t="s">
        <v>200</v>
      </c>
      <c r="J65" t="s">
        <v>147</v>
      </c>
      <c r="M65"/>
      <c r="N65"/>
      <c r="O65" t="str">
        <f>_xlfn.XLOOKUP(Table1[[#This Row],[Name]],'Field name checks'!A:A,'Field name checks'!A:A,"Missing",0)</f>
        <v>Missing</v>
      </c>
    </row>
    <row r="66" spans="1:15" hidden="1">
      <c r="A66" t="s">
        <v>68</v>
      </c>
      <c r="B66" t="s">
        <v>322</v>
      </c>
      <c r="C66" s="1" t="s">
        <v>323</v>
      </c>
      <c r="F66" t="s">
        <v>324</v>
      </c>
      <c r="J66" t="s">
        <v>147</v>
      </c>
      <c r="M66"/>
      <c r="N66"/>
      <c r="O66" t="str">
        <f>_xlfn.XLOOKUP(Table1[[#This Row],[Name]],'Field name checks'!A:A,'Field name checks'!A:A,"Missing",0)</f>
        <v>Missing</v>
      </c>
    </row>
    <row r="67" spans="1:15" hidden="1">
      <c r="A67" t="s">
        <v>75</v>
      </c>
      <c r="B67" t="s">
        <v>325</v>
      </c>
      <c r="C67" t="s">
        <v>326</v>
      </c>
      <c r="D67" t="s">
        <v>327</v>
      </c>
      <c r="F67" t="s">
        <v>186</v>
      </c>
      <c r="J67" t="s">
        <v>56</v>
      </c>
      <c r="M67" s="58">
        <v>45973</v>
      </c>
      <c r="N67" t="s">
        <v>328</v>
      </c>
      <c r="O67" t="str">
        <f>_xlfn.XLOOKUP(Table1[[#This Row],[Name]],'Field name checks'!A:A,'Field name checks'!A:A,"Missing",0)</f>
        <v>Missing</v>
      </c>
    </row>
    <row r="68" spans="1:15" hidden="1">
      <c r="A68" t="s">
        <v>75</v>
      </c>
      <c r="B68" t="s">
        <v>329</v>
      </c>
      <c r="C68" t="s">
        <v>330</v>
      </c>
      <c r="E68" t="s">
        <v>331</v>
      </c>
      <c r="F68" t="s">
        <v>200</v>
      </c>
      <c r="J68" t="s">
        <v>56</v>
      </c>
      <c r="M68" s="49">
        <v>45953</v>
      </c>
      <c r="N68" t="s">
        <v>332</v>
      </c>
      <c r="O68" t="str">
        <f>_xlfn.XLOOKUP(Table1[[#This Row],[Name]],'Field name checks'!A:A,'Field name checks'!A:A,"Missing",0)</f>
        <v>Missing</v>
      </c>
    </row>
    <row r="69" spans="1:15" ht="57.6" hidden="1">
      <c r="A69" t="s">
        <v>75</v>
      </c>
      <c r="B69" t="s">
        <v>333</v>
      </c>
      <c r="C69" t="s">
        <v>334</v>
      </c>
      <c r="E69" t="s">
        <v>331</v>
      </c>
      <c r="F69" t="s">
        <v>335</v>
      </c>
      <c r="G69" s="15" t="s">
        <v>336</v>
      </c>
      <c r="J69" t="s">
        <v>56</v>
      </c>
      <c r="M69" s="58">
        <v>45973</v>
      </c>
      <c r="N69" t="s">
        <v>337</v>
      </c>
      <c r="O69" t="str">
        <f>_xlfn.XLOOKUP(Table1[[#This Row],[Name]],'Field name checks'!A:A,'Field name checks'!A:A,"Missing",0)</f>
        <v>Missing</v>
      </c>
    </row>
    <row r="70" spans="1:15" ht="43.15" hidden="1">
      <c r="A70" t="s">
        <v>75</v>
      </c>
      <c r="B70" t="s">
        <v>338</v>
      </c>
      <c r="C70" t="s">
        <v>339</v>
      </c>
      <c r="E70" t="s">
        <v>242</v>
      </c>
      <c r="F70" t="s">
        <v>335</v>
      </c>
      <c r="G70" s="15" t="s">
        <v>340</v>
      </c>
      <c r="J70" t="s">
        <v>56</v>
      </c>
      <c r="M70" s="58">
        <v>45973</v>
      </c>
      <c r="N70" t="s">
        <v>341</v>
      </c>
      <c r="O70" t="str">
        <f>_xlfn.XLOOKUP(Table1[[#This Row],[Name]],'Field name checks'!A:A,'Field name checks'!A:A,"Missing",0)</f>
        <v>Missing</v>
      </c>
    </row>
    <row r="71" spans="1:15" ht="28.9" hidden="1">
      <c r="A71" s="2" t="s">
        <v>75</v>
      </c>
      <c r="B71" t="s">
        <v>342</v>
      </c>
      <c r="C71" s="1" t="s">
        <v>343</v>
      </c>
      <c r="E71" t="s">
        <v>344</v>
      </c>
      <c r="G71" s="15" t="s">
        <v>345</v>
      </c>
      <c r="J71" t="s">
        <v>56</v>
      </c>
      <c r="M71"/>
      <c r="N71"/>
      <c r="O71" t="str">
        <f>_xlfn.XLOOKUP(Table1[[#This Row],[Name]],'Field name checks'!A:A,'Field name checks'!A:A,"Missing",0)</f>
        <v>Missing</v>
      </c>
    </row>
    <row r="72" spans="1:15">
      <c r="A72" t="s">
        <v>50</v>
      </c>
      <c r="B72" t="s">
        <v>346</v>
      </c>
      <c r="C72" s="53" t="s">
        <v>347</v>
      </c>
      <c r="D72" t="s">
        <v>348</v>
      </c>
      <c r="E72" t="s">
        <v>349</v>
      </c>
      <c r="G72" s="15" t="s">
        <v>350</v>
      </c>
      <c r="J72" t="s">
        <v>147</v>
      </c>
      <c r="M72" s="58">
        <v>45959</v>
      </c>
      <c r="N72" t="s">
        <v>245</v>
      </c>
      <c r="O72" t="str">
        <f>_xlfn.XLOOKUP(Table1[[#This Row],[Name]],'Field name checks'!A:A,'Field name checks'!A:A,"Missing",0)</f>
        <v>Missing</v>
      </c>
    </row>
    <row r="73" spans="1:15" hidden="1">
      <c r="A73" s="2" t="s">
        <v>38</v>
      </c>
      <c r="B73" t="s">
        <v>351</v>
      </c>
      <c r="C73" s="52" t="s">
        <v>318</v>
      </c>
      <c r="F73" t="s">
        <v>319</v>
      </c>
      <c r="J73" t="s">
        <v>56</v>
      </c>
      <c r="M73" s="58">
        <v>45973</v>
      </c>
      <c r="N73" t="s">
        <v>352</v>
      </c>
      <c r="O73" t="str">
        <f>_xlfn.XLOOKUP(Table1[[#This Row],[Name]],'Field name checks'!A:A,'Field name checks'!A:A,"Missing",0)</f>
        <v>Missing</v>
      </c>
    </row>
    <row r="74" spans="1:15" hidden="1">
      <c r="A74" s="2" t="s">
        <v>38</v>
      </c>
      <c r="B74" t="s">
        <v>353</v>
      </c>
      <c r="C74" s="52" t="s">
        <v>321</v>
      </c>
      <c r="F74" t="s">
        <v>200</v>
      </c>
      <c r="J74" t="s">
        <v>56</v>
      </c>
      <c r="M74" s="58">
        <v>45973</v>
      </c>
      <c r="N74" t="s">
        <v>354</v>
      </c>
      <c r="O74" t="str">
        <f>_xlfn.XLOOKUP(Table1[[#This Row],[Name]],'Field name checks'!A:A,'Field name checks'!A:A,"Missing",0)</f>
        <v>Missing</v>
      </c>
    </row>
    <row r="75" spans="1:15" hidden="1">
      <c r="A75" s="2" t="s">
        <v>38</v>
      </c>
      <c r="B75" t="s">
        <v>355</v>
      </c>
      <c r="C75" s="52" t="s">
        <v>323</v>
      </c>
      <c r="F75" t="s">
        <v>324</v>
      </c>
      <c r="J75" t="s">
        <v>56</v>
      </c>
      <c r="M75" s="58">
        <v>45973</v>
      </c>
      <c r="N75" t="s">
        <v>356</v>
      </c>
    </row>
    <row r="76" spans="1:15" hidden="1">
      <c r="A76" s="2" t="s">
        <v>38</v>
      </c>
      <c r="B76" t="s">
        <v>357</v>
      </c>
      <c r="C76" s="53"/>
      <c r="F76" t="s">
        <v>166</v>
      </c>
      <c r="J76" t="s">
        <v>48</v>
      </c>
      <c r="M76"/>
      <c r="N76"/>
      <c r="O76" t="str">
        <f>_xlfn.XLOOKUP(Table1[[#This Row],[Name]],'Field name checks'!A:A,'Field name checks'!A:A,"Missing",0)</f>
        <v>Missing</v>
      </c>
    </row>
    <row r="77" spans="1:15" hidden="1">
      <c r="A77" s="2" t="s">
        <v>38</v>
      </c>
      <c r="B77" t="s">
        <v>358</v>
      </c>
      <c r="C77" s="53" t="s">
        <v>359</v>
      </c>
      <c r="D77" t="s">
        <v>360</v>
      </c>
      <c r="E77" t="s">
        <v>179</v>
      </c>
      <c r="G77" s="15" t="s">
        <v>361</v>
      </c>
      <c r="J77" t="s">
        <v>56</v>
      </c>
      <c r="M77"/>
      <c r="N77"/>
      <c r="O77" t="str">
        <f>_xlfn.XLOOKUP(Table1[[#This Row],[Name]],'Field name checks'!A:A,'Field name checks'!A:A,"Missing",0)</f>
        <v>Missing</v>
      </c>
    </row>
    <row r="78" spans="1:15" hidden="1">
      <c r="A78" t="s">
        <v>112</v>
      </c>
      <c r="B78" t="s">
        <v>362</v>
      </c>
      <c r="C78" s="1" t="s">
        <v>363</v>
      </c>
      <c r="M78"/>
      <c r="N78"/>
      <c r="O78" t="str">
        <f>_xlfn.XLOOKUP(Table1[[#This Row],[Name]],'Field name checks'!A:A,'Field name checks'!A:A,"Missing",0)</f>
        <v>Missing</v>
      </c>
    </row>
    <row r="79" spans="1:15" hidden="1">
      <c r="A79" t="s">
        <v>112</v>
      </c>
      <c r="B79" t="s">
        <v>364</v>
      </c>
      <c r="C79" s="1" t="s">
        <v>365</v>
      </c>
      <c r="M79"/>
      <c r="N79"/>
      <c r="O79" t="str">
        <f>_xlfn.XLOOKUP(Table1[[#This Row],[Name]],'Field name checks'!A:A,'Field name checks'!A:A,"Missing",0)</f>
        <v>Missing</v>
      </c>
    </row>
    <row r="80" spans="1:15" hidden="1">
      <c r="A80" t="s">
        <v>112</v>
      </c>
      <c r="B80" t="s">
        <v>366</v>
      </c>
      <c r="C80" s="1" t="s">
        <v>367</v>
      </c>
      <c r="M80"/>
      <c r="N80"/>
      <c r="O80" t="str">
        <f>_xlfn.XLOOKUP(Table1[[#This Row],[Name]],'Field name checks'!A:A,'Field name checks'!A:A,"Missing",0)</f>
        <v>Missing</v>
      </c>
    </row>
    <row r="81" spans="1:15" hidden="1">
      <c r="A81" t="s">
        <v>112</v>
      </c>
      <c r="B81" t="s">
        <v>368</v>
      </c>
      <c r="C81" s="1" t="s">
        <v>369</v>
      </c>
      <c r="M81"/>
      <c r="N81"/>
      <c r="O81" t="str">
        <f>_xlfn.XLOOKUP(Table1[[#This Row],[Name]],'Field name checks'!A:A,'Field name checks'!A:A,"Missing",0)</f>
        <v>Missing</v>
      </c>
    </row>
    <row r="82" spans="1:15" hidden="1">
      <c r="A82" t="s">
        <v>112</v>
      </c>
      <c r="B82" t="s">
        <v>370</v>
      </c>
      <c r="C82" s="1" t="s">
        <v>371</v>
      </c>
      <c r="M82"/>
      <c r="N82"/>
      <c r="O82" t="str">
        <f>_xlfn.XLOOKUP(Table1[[#This Row],[Name]],'Field name checks'!A:A,'Field name checks'!A:A,"Missing",0)</f>
        <v>Missing</v>
      </c>
    </row>
    <row r="83" spans="1:15" hidden="1">
      <c r="A83" t="s">
        <v>112</v>
      </c>
      <c r="B83" t="s">
        <v>372</v>
      </c>
      <c r="C83" s="1"/>
      <c r="M83"/>
      <c r="N83"/>
      <c r="O83" t="str">
        <f>_xlfn.XLOOKUP(Table1[[#This Row],[Name]],'Field name checks'!A:A,'Field name checks'!A:A,"Missing",0)</f>
        <v>Missing</v>
      </c>
    </row>
    <row r="84" spans="1:15" hidden="1">
      <c r="A84" t="s">
        <v>112</v>
      </c>
      <c r="B84" t="s">
        <v>373</v>
      </c>
      <c r="C84" s="1"/>
      <c r="M84"/>
      <c r="N84"/>
      <c r="O84" t="str">
        <f>_xlfn.XLOOKUP(Table1[[#This Row],[Name]],'Field name checks'!A:A,'Field name checks'!A:A,"Missing",0)</f>
        <v>Missing</v>
      </c>
    </row>
    <row r="85" spans="1:15" hidden="1">
      <c r="A85" t="s">
        <v>81</v>
      </c>
      <c r="B85" t="s">
        <v>374</v>
      </c>
      <c r="C85" t="s">
        <v>375</v>
      </c>
      <c r="F85" t="s">
        <v>200</v>
      </c>
      <c r="M85"/>
      <c r="N85"/>
      <c r="O85" t="str">
        <f>_xlfn.XLOOKUP(Table1[[#This Row],[Name]],'Field name checks'!A:A,'Field name checks'!A:A,"Missing",0)</f>
        <v>Missing</v>
      </c>
    </row>
    <row r="86" spans="1:15" hidden="1">
      <c r="A86" t="s">
        <v>81</v>
      </c>
      <c r="B86" t="s">
        <v>376</v>
      </c>
      <c r="C86" t="s">
        <v>377</v>
      </c>
      <c r="F86" t="s">
        <v>200</v>
      </c>
      <c r="M86"/>
      <c r="N86"/>
      <c r="O86" t="str">
        <f>_xlfn.XLOOKUP(Table1[[#This Row],[Name]],'Field name checks'!A:A,'Field name checks'!A:A,"Missing",0)</f>
        <v>Missing</v>
      </c>
    </row>
    <row r="87" spans="1:15" hidden="1">
      <c r="A87" t="s">
        <v>23</v>
      </c>
      <c r="B87" t="s">
        <v>222</v>
      </c>
      <c r="C87" t="s">
        <v>378</v>
      </c>
      <c r="F87" t="s">
        <v>200</v>
      </c>
      <c r="J87" t="s">
        <v>196</v>
      </c>
      <c r="M87"/>
      <c r="N87"/>
      <c r="O87" t="str">
        <f>_xlfn.XLOOKUP(Table1[[#This Row],[Name]],'Field name checks'!A:A,'Field name checks'!A:A,"Missing",0)</f>
        <v>Missing</v>
      </c>
    </row>
    <row r="88" spans="1:15" hidden="1">
      <c r="A88" t="s">
        <v>23</v>
      </c>
      <c r="B88" t="s">
        <v>320</v>
      </c>
      <c r="C88" s="1" t="s">
        <v>321</v>
      </c>
      <c r="F88" t="s">
        <v>200</v>
      </c>
      <c r="J88" t="s">
        <v>147</v>
      </c>
      <c r="M88"/>
      <c r="N88"/>
      <c r="O88" t="str">
        <f>_xlfn.XLOOKUP(Table1[[#This Row],[Name]],'Field name checks'!A:A,'Field name checks'!A:A,"Missing",0)</f>
        <v>Missing</v>
      </c>
    </row>
    <row r="89" spans="1:15" hidden="1">
      <c r="A89" t="s">
        <v>15</v>
      </c>
      <c r="B89" t="s">
        <v>153</v>
      </c>
      <c r="C89" t="s">
        <v>379</v>
      </c>
      <c r="J89" t="s">
        <v>147</v>
      </c>
      <c r="M89"/>
      <c r="O89" t="str">
        <f>_xlfn.XLOOKUP(Table1[[#This Row],[Name]],'Field name checks'!A:A,'Field name checks'!A:A,"Missing",0)</f>
        <v>Missing</v>
      </c>
    </row>
    <row r="90" spans="1:15" hidden="1">
      <c r="A90" t="s">
        <v>15</v>
      </c>
      <c r="B90" t="s">
        <v>380</v>
      </c>
      <c r="C90" t="s">
        <v>381</v>
      </c>
      <c r="E90" t="s">
        <v>242</v>
      </c>
      <c r="J90" t="s">
        <v>147</v>
      </c>
      <c r="M90"/>
      <c r="O90" t="str">
        <f>_xlfn.XLOOKUP(Table1[[#This Row],[Name]],'Field name checks'!A:A,'Field name checks'!A:A,"Missing",0)</f>
        <v>Missing</v>
      </c>
    </row>
    <row r="91" spans="1:15" hidden="1">
      <c r="A91" t="s">
        <v>15</v>
      </c>
      <c r="B91" t="s">
        <v>382</v>
      </c>
      <c r="C91" t="s">
        <v>383</v>
      </c>
      <c r="E91" t="s">
        <v>384</v>
      </c>
      <c r="J91" t="s">
        <v>147</v>
      </c>
      <c r="M91"/>
      <c r="O91" t="str">
        <f>_xlfn.XLOOKUP(Table1[[#This Row],[Name]],'Field name checks'!A:A,'Field name checks'!A:A,"Missing",0)</f>
        <v>Missing</v>
      </c>
    </row>
    <row r="92" spans="1:15" ht="41.45" hidden="1">
      <c r="A92" t="s">
        <v>15</v>
      </c>
      <c r="B92" t="s">
        <v>385</v>
      </c>
      <c r="C92" t="s">
        <v>386</v>
      </c>
      <c r="F92" t="s">
        <v>387</v>
      </c>
      <c r="G92" s="32" t="s">
        <v>388</v>
      </c>
      <c r="J92" t="s">
        <v>196</v>
      </c>
      <c r="M92"/>
      <c r="O92" t="str">
        <f>_xlfn.XLOOKUP(Table1[[#This Row],[Name]],'Field name checks'!A:A,'Field name checks'!A:A,"Missing",0)</f>
        <v>Missing</v>
      </c>
    </row>
    <row r="93" spans="1:15" hidden="1">
      <c r="A93" t="s">
        <v>15</v>
      </c>
      <c r="B93" t="s">
        <v>389</v>
      </c>
      <c r="C93" t="s">
        <v>390</v>
      </c>
      <c r="D93" t="s">
        <v>391</v>
      </c>
      <c r="F93" t="s">
        <v>392</v>
      </c>
      <c r="J93" t="s">
        <v>196</v>
      </c>
      <c r="M93"/>
      <c r="O93" t="str">
        <f>_xlfn.XLOOKUP(Table1[[#This Row],[Name]],'Field name checks'!A:A,'Field name checks'!A:A,"Missing",0)</f>
        <v>Missing</v>
      </c>
    </row>
    <row r="94" spans="1:15" hidden="1">
      <c r="A94" t="s">
        <v>15</v>
      </c>
      <c r="B94" t="s">
        <v>149</v>
      </c>
      <c r="C94" t="s">
        <v>393</v>
      </c>
      <c r="F94" t="s">
        <v>394</v>
      </c>
      <c r="J94" t="s">
        <v>147</v>
      </c>
      <c r="M94"/>
      <c r="O94" t="str">
        <f>_xlfn.XLOOKUP(Table1[[#This Row],[Name]],'Field name checks'!A:A,'Field name checks'!A:A,"Missing",0)</f>
        <v>Missing</v>
      </c>
    </row>
    <row r="95" spans="1:15" hidden="1">
      <c r="A95" t="s">
        <v>15</v>
      </c>
      <c r="B95" t="s">
        <v>395</v>
      </c>
      <c r="C95" t="s">
        <v>396</v>
      </c>
      <c r="F95" t="s">
        <v>169</v>
      </c>
      <c r="J95" t="s">
        <v>147</v>
      </c>
      <c r="M95"/>
      <c r="O95" t="str">
        <f>_xlfn.XLOOKUP(Table1[[#This Row],[Name]],'Field name checks'!A:A,'Field name checks'!A:A,"Missing",0)</f>
        <v>Missing</v>
      </c>
    </row>
    <row r="96" spans="1:15" hidden="1">
      <c r="A96" t="s">
        <v>15</v>
      </c>
      <c r="B96" t="s">
        <v>397</v>
      </c>
      <c r="C96" t="s">
        <v>398</v>
      </c>
      <c r="F96" t="s">
        <v>166</v>
      </c>
      <c r="J96" t="s">
        <v>147</v>
      </c>
      <c r="M96"/>
      <c r="O96" t="str">
        <f>_xlfn.XLOOKUP(Table1[[#This Row],[Name]],'Field name checks'!A:A,'Field name checks'!A:A,"Missing",0)</f>
        <v>Missing</v>
      </c>
    </row>
    <row r="97" spans="1:15" ht="172.9" hidden="1">
      <c r="A97" t="s">
        <v>15</v>
      </c>
      <c r="B97" t="s">
        <v>399</v>
      </c>
      <c r="C97" t="s">
        <v>400</v>
      </c>
      <c r="G97" s="50" t="s">
        <v>401</v>
      </c>
      <c r="J97" t="s">
        <v>147</v>
      </c>
      <c r="M97" t="s">
        <v>402</v>
      </c>
      <c r="N97" s="15" t="s">
        <v>403</v>
      </c>
      <c r="O97" t="str">
        <f>_xlfn.XLOOKUP(Table1[[#This Row],[Name]],'Field name checks'!A:A,'Field name checks'!A:A,"Missing",0)</f>
        <v>Missing</v>
      </c>
    </row>
    <row r="98" spans="1:15" hidden="1">
      <c r="A98" t="s">
        <v>15</v>
      </c>
      <c r="B98" t="s">
        <v>404</v>
      </c>
      <c r="C98" t="s">
        <v>405</v>
      </c>
      <c r="J98" t="s">
        <v>147</v>
      </c>
      <c r="M98"/>
      <c r="O98" t="str">
        <f>_xlfn.XLOOKUP(Table1[[#This Row],[Name]],'Field name checks'!A:A,'Field name checks'!A:A,"Missing",0)</f>
        <v>Missing</v>
      </c>
    </row>
    <row r="99" spans="1:15" hidden="1">
      <c r="A99" s="2" t="s">
        <v>15</v>
      </c>
      <c r="B99" t="s">
        <v>317</v>
      </c>
      <c r="C99" s="1" t="s">
        <v>318</v>
      </c>
      <c r="F99" t="s">
        <v>319</v>
      </c>
      <c r="J99" t="s">
        <v>147</v>
      </c>
      <c r="M99"/>
      <c r="O99" t="str">
        <f>_xlfn.XLOOKUP(Table1[[#This Row],[Name]],'Field name checks'!A:A,'Field name checks'!A:A,"Missing",0)</f>
        <v>Missing</v>
      </c>
    </row>
    <row r="100" spans="1:15" hidden="1">
      <c r="A100" s="2" t="s">
        <v>15</v>
      </c>
      <c r="B100" t="s">
        <v>320</v>
      </c>
      <c r="C100" s="1" t="s">
        <v>321</v>
      </c>
      <c r="F100" t="s">
        <v>200</v>
      </c>
      <c r="J100" t="s">
        <v>147</v>
      </c>
      <c r="M100"/>
      <c r="O100" t="str">
        <f>_xlfn.XLOOKUP(Table1[[#This Row],[Name]],'Field name checks'!A:A,'Field name checks'!A:A,"Missing",0)</f>
        <v>Missing</v>
      </c>
    </row>
    <row r="101" spans="1:15" hidden="1">
      <c r="A101" s="2" t="s">
        <v>15</v>
      </c>
      <c r="B101" t="s">
        <v>322</v>
      </c>
      <c r="C101" s="1" t="s">
        <v>323</v>
      </c>
      <c r="F101" t="s">
        <v>324</v>
      </c>
      <c r="J101" t="s">
        <v>147</v>
      </c>
      <c r="M101"/>
      <c r="O101" t="str">
        <f>_xlfn.XLOOKUP(Table1[[#This Row],[Name]],'Field name checks'!A:A,'Field name checks'!A:A,"Missing",0)</f>
        <v>Missing</v>
      </c>
    </row>
    <row r="102" spans="1:15" hidden="1">
      <c r="A102" t="s">
        <v>23</v>
      </c>
      <c r="B102" t="s">
        <v>317</v>
      </c>
      <c r="C102" s="1" t="s">
        <v>318</v>
      </c>
      <c r="F102" t="s">
        <v>200</v>
      </c>
      <c r="J102" t="s">
        <v>147</v>
      </c>
      <c r="M102"/>
      <c r="N102"/>
      <c r="O102" t="str">
        <f>_xlfn.XLOOKUP(Table1[[#This Row],[Name]],'Field name checks'!A:A,'Field name checks'!A:A,"Missing",0)</f>
        <v>Missing</v>
      </c>
    </row>
    <row r="103" spans="1:15" hidden="1">
      <c r="A103" t="s">
        <v>81</v>
      </c>
      <c r="B103" t="s">
        <v>406</v>
      </c>
      <c r="C103" s="1" t="s">
        <v>407</v>
      </c>
      <c r="F103" t="s">
        <v>146</v>
      </c>
      <c r="M103"/>
      <c r="N103"/>
      <c r="O103" t="str">
        <f>_xlfn.XLOOKUP(Table1[[#This Row],[Name]],'Field name checks'!A:A,'Field name checks'!A:A,"Missing",0)</f>
        <v>Missing</v>
      </c>
    </row>
    <row r="104" spans="1:15" hidden="1">
      <c r="A104" t="s">
        <v>23</v>
      </c>
      <c r="B104" t="s">
        <v>149</v>
      </c>
      <c r="C104" t="s">
        <v>408</v>
      </c>
      <c r="F104" t="s">
        <v>146</v>
      </c>
      <c r="J104" t="s">
        <v>147</v>
      </c>
      <c r="M104"/>
      <c r="N104"/>
      <c r="O104" t="str">
        <f>_xlfn.XLOOKUP(Table1[[#This Row],[Name]],'Field name checks'!A:A,'Field name checks'!A:A,"Missing",0)</f>
        <v>Missing</v>
      </c>
    </row>
    <row r="105" spans="1:15" hidden="1">
      <c r="A105" t="s">
        <v>23</v>
      </c>
      <c r="B105" t="s">
        <v>409</v>
      </c>
      <c r="C105" t="s">
        <v>410</v>
      </c>
      <c r="D105" t="s">
        <v>411</v>
      </c>
      <c r="E105" t="s">
        <v>412</v>
      </c>
      <c r="F105" t="s">
        <v>413</v>
      </c>
      <c r="J105" t="s">
        <v>196</v>
      </c>
      <c r="M105"/>
      <c r="N105"/>
      <c r="O105" t="str">
        <f>_xlfn.XLOOKUP(Table1[[#This Row],[Name]],'Field name checks'!A:A,'Field name checks'!A:A,"Missing",0)</f>
        <v>Missing</v>
      </c>
    </row>
    <row r="106" spans="1:15" hidden="1">
      <c r="A106" t="s">
        <v>23</v>
      </c>
      <c r="B106" t="s">
        <v>414</v>
      </c>
      <c r="C106" t="s">
        <v>415</v>
      </c>
      <c r="D106" t="s">
        <v>411</v>
      </c>
      <c r="E106" t="s">
        <v>412</v>
      </c>
      <c r="F106" t="s">
        <v>413</v>
      </c>
      <c r="J106" t="s">
        <v>196</v>
      </c>
      <c r="M106"/>
      <c r="N106"/>
      <c r="O106" t="str">
        <f>_xlfn.XLOOKUP(Table1[[#This Row],[Name]],'Field name checks'!A:A,'Field name checks'!A:A,"Missing",0)</f>
        <v>Missing</v>
      </c>
    </row>
    <row r="107" spans="1:15" hidden="1">
      <c r="A107" t="s">
        <v>23</v>
      </c>
      <c r="B107" t="s">
        <v>416</v>
      </c>
      <c r="C107" t="s">
        <v>417</v>
      </c>
      <c r="F107" t="s">
        <v>169</v>
      </c>
      <c r="J107" t="s">
        <v>196</v>
      </c>
      <c r="M107"/>
      <c r="N107"/>
      <c r="O107" t="str">
        <f>_xlfn.XLOOKUP(Table1[[#This Row],[Name]],'Field name checks'!A:A,'Field name checks'!A:A,"Missing",0)</f>
        <v>Missing</v>
      </c>
    </row>
    <row r="108" spans="1:15" hidden="1">
      <c r="A108" t="s">
        <v>23</v>
      </c>
      <c r="B108" t="s">
        <v>418</v>
      </c>
      <c r="C108" s="1" t="s">
        <v>419</v>
      </c>
      <c r="F108" t="s">
        <v>420</v>
      </c>
      <c r="J108" t="s">
        <v>147</v>
      </c>
      <c r="M108"/>
      <c r="N108"/>
      <c r="O108" t="str">
        <f>_xlfn.XLOOKUP(Table1[[#This Row],[Name]],'Field name checks'!A:A,'Field name checks'!A:A,"Missing",0)</f>
        <v>Missing</v>
      </c>
    </row>
    <row r="109" spans="1:15" hidden="1">
      <c r="A109" t="s">
        <v>23</v>
      </c>
      <c r="B109" t="s">
        <v>421</v>
      </c>
      <c r="C109" t="s">
        <v>422</v>
      </c>
      <c r="D109" t="s">
        <v>232</v>
      </c>
      <c r="F109" t="s">
        <v>423</v>
      </c>
      <c r="J109" t="s">
        <v>196</v>
      </c>
      <c r="M109"/>
      <c r="N109"/>
      <c r="O109" t="str">
        <f>_xlfn.XLOOKUP(Table1[[#This Row],[Name]],'Field name checks'!A:A,'Field name checks'!A:A,"Missing",0)</f>
        <v>Missing</v>
      </c>
    </row>
    <row r="110" spans="1:15" hidden="1">
      <c r="A110" t="s">
        <v>23</v>
      </c>
      <c r="B110" t="s">
        <v>424</v>
      </c>
      <c r="C110" t="s">
        <v>425</v>
      </c>
      <c r="F110" t="s">
        <v>166</v>
      </c>
      <c r="J110" t="s">
        <v>196</v>
      </c>
      <c r="M110"/>
      <c r="N110"/>
      <c r="O110" t="str">
        <f>_xlfn.XLOOKUP(Table1[[#This Row],[Name]],'Field name checks'!A:A,'Field name checks'!A:A,"Missing",0)</f>
        <v>Missing</v>
      </c>
    </row>
    <row r="111" spans="1:15" hidden="1">
      <c r="A111" s="2" t="s">
        <v>23</v>
      </c>
      <c r="B111" t="s">
        <v>426</v>
      </c>
      <c r="C111" s="1" t="s">
        <v>427</v>
      </c>
      <c r="F111" t="s">
        <v>428</v>
      </c>
      <c r="J111" t="s">
        <v>147</v>
      </c>
      <c r="M111"/>
      <c r="N111"/>
      <c r="O111" t="str">
        <f>_xlfn.XLOOKUP(Table1[[#This Row],[Name]],'Field name checks'!A:A,'Field name checks'!A:A,"Missing",0)</f>
        <v>Missing</v>
      </c>
    </row>
    <row r="112" spans="1:15" hidden="1">
      <c r="A112" t="s">
        <v>23</v>
      </c>
      <c r="B112" t="s">
        <v>238</v>
      </c>
      <c r="C112" t="s">
        <v>429</v>
      </c>
      <c r="F112" t="s">
        <v>430</v>
      </c>
      <c r="J112" t="s">
        <v>147</v>
      </c>
      <c r="M112"/>
      <c r="N112"/>
      <c r="O112" t="str">
        <f>_xlfn.XLOOKUP(Table1[[#This Row],[Name]],'Field name checks'!A:A,'Field name checks'!A:A,"Missing",0)</f>
        <v>campaign_id</v>
      </c>
    </row>
    <row r="113" spans="1:15" hidden="1">
      <c r="A113" t="s">
        <v>23</v>
      </c>
      <c r="B113" t="s">
        <v>221</v>
      </c>
      <c r="C113" t="s">
        <v>431</v>
      </c>
      <c r="D113" t="s">
        <v>432</v>
      </c>
      <c r="F113" t="s">
        <v>433</v>
      </c>
      <c r="J113" t="s">
        <v>196</v>
      </c>
      <c r="M113"/>
      <c r="N113"/>
      <c r="O113" t="str">
        <f>_xlfn.XLOOKUP(Table1[[#This Row],[Name]],'Field name checks'!A:A,'Field name checks'!A:A,"Missing",0)</f>
        <v>Missing</v>
      </c>
    </row>
    <row r="114" spans="1:15" hidden="1">
      <c r="A114" t="s">
        <v>23</v>
      </c>
      <c r="B114" t="s">
        <v>322</v>
      </c>
      <c r="C114" s="1" t="s">
        <v>323</v>
      </c>
      <c r="F114" t="s">
        <v>434</v>
      </c>
      <c r="J114" t="s">
        <v>147</v>
      </c>
      <c r="M114"/>
      <c r="N114"/>
      <c r="O114" t="str">
        <f>_xlfn.XLOOKUP(Table1[[#This Row],[Name]],'Field name checks'!A:A,'Field name checks'!A:A,"Missing",0)</f>
        <v>Missing</v>
      </c>
    </row>
    <row r="115" spans="1:15" hidden="1">
      <c r="A115" t="s">
        <v>23</v>
      </c>
      <c r="B115" t="s">
        <v>435</v>
      </c>
      <c r="C115" t="s">
        <v>436</v>
      </c>
      <c r="F115" t="s">
        <v>437</v>
      </c>
      <c r="J115" t="s">
        <v>196</v>
      </c>
      <c r="M115"/>
      <c r="N115"/>
      <c r="O115" t="str">
        <f>_xlfn.XLOOKUP(Table1[[#This Row],[Name]],'Field name checks'!A:A,'Field name checks'!A:A,"Missing",0)</f>
        <v>Missing</v>
      </c>
    </row>
    <row r="116" spans="1:15" hidden="1">
      <c r="A116" t="s">
        <v>23</v>
      </c>
      <c r="B116" t="s">
        <v>438</v>
      </c>
      <c r="C116" t="s">
        <v>439</v>
      </c>
      <c r="F116" t="s">
        <v>204</v>
      </c>
      <c r="J116" t="s">
        <v>440</v>
      </c>
      <c r="M116"/>
      <c r="N116"/>
      <c r="O116" t="str">
        <f>_xlfn.XLOOKUP(Table1[[#This Row],[Name]],'Field name checks'!A:A,'Field name checks'!A:A,"Missing",0)</f>
        <v>Missing</v>
      </c>
    </row>
    <row r="117" spans="1:15" hidden="1">
      <c r="A117" t="s">
        <v>23</v>
      </c>
      <c r="B117" t="s">
        <v>441</v>
      </c>
      <c r="C117" t="s">
        <v>442</v>
      </c>
      <c r="F117" t="s">
        <v>204</v>
      </c>
      <c r="J117" t="s">
        <v>147</v>
      </c>
      <c r="M117"/>
      <c r="N117"/>
      <c r="O117" t="str">
        <f>_xlfn.XLOOKUP(Table1[[#This Row],[Name]],'Field name checks'!A:A,'Field name checks'!A:A,"Missing",0)</f>
        <v>Missing</v>
      </c>
    </row>
    <row r="118" spans="1:15" hidden="1">
      <c r="A118" t="s">
        <v>81</v>
      </c>
      <c r="B118" t="s">
        <v>443</v>
      </c>
      <c r="C118" t="s">
        <v>444</v>
      </c>
      <c r="F118" t="s">
        <v>445</v>
      </c>
      <c r="M118"/>
      <c r="N118"/>
      <c r="O118" t="str">
        <f>_xlfn.XLOOKUP(Table1[[#This Row],[Name]],'Field name checks'!A:A,'Field name checks'!A:A,"Missing",0)</f>
        <v>Missing</v>
      </c>
    </row>
    <row r="119" spans="1:15" hidden="1">
      <c r="A119" t="s">
        <v>86</v>
      </c>
      <c r="B119" t="s">
        <v>418</v>
      </c>
      <c r="C119" s="1" t="s">
        <v>446</v>
      </c>
      <c r="J119" t="s">
        <v>147</v>
      </c>
      <c r="M119"/>
      <c r="N119"/>
      <c r="O119" t="str">
        <f>_xlfn.XLOOKUP(Table1[[#This Row],[Name]],'Field name checks'!A:A,'Field name checks'!A:A,"Missing",0)</f>
        <v>Missing</v>
      </c>
    </row>
    <row r="120" spans="1:15" hidden="1">
      <c r="A120" s="3" t="s">
        <v>86</v>
      </c>
      <c r="B120" t="s">
        <v>447</v>
      </c>
      <c r="C120" t="s">
        <v>448</v>
      </c>
      <c r="E120" t="s">
        <v>242</v>
      </c>
      <c r="J120" t="s">
        <v>196</v>
      </c>
      <c r="M120"/>
      <c r="N120"/>
      <c r="O120" t="str">
        <f>_xlfn.XLOOKUP(Table1[[#This Row],[Name]],'Field name checks'!A:A,'Field name checks'!A:A,"Missing",0)</f>
        <v>Missing</v>
      </c>
    </row>
    <row r="121" spans="1:15" hidden="1">
      <c r="A121" s="3" t="s">
        <v>86</v>
      </c>
      <c r="B121" t="s">
        <v>449</v>
      </c>
      <c r="C121" t="s">
        <v>450</v>
      </c>
      <c r="E121" t="s">
        <v>242</v>
      </c>
      <c r="J121" t="s">
        <v>196</v>
      </c>
      <c r="M121"/>
      <c r="N121"/>
      <c r="O121" t="str">
        <f>_xlfn.XLOOKUP(Table1[[#This Row],[Name]],'Field name checks'!A:A,'Field name checks'!A:A,"Missing",0)</f>
        <v>Missing</v>
      </c>
    </row>
    <row r="122" spans="1:15" hidden="1">
      <c r="A122" s="3" t="s">
        <v>86</v>
      </c>
      <c r="B122" t="s">
        <v>222</v>
      </c>
      <c r="C122" t="s">
        <v>451</v>
      </c>
      <c r="D122" t="s">
        <v>232</v>
      </c>
      <c r="E122" t="s">
        <v>452</v>
      </c>
      <c r="J122" t="s">
        <v>147</v>
      </c>
      <c r="M122"/>
      <c r="N122"/>
      <c r="O122" t="str">
        <f>_xlfn.XLOOKUP(Table1[[#This Row],[Name]],'Field name checks'!A:A,'Field name checks'!A:A,"Missing",0)</f>
        <v>Missing</v>
      </c>
    </row>
    <row r="123" spans="1:15" hidden="1">
      <c r="A123" s="3" t="s">
        <v>86</v>
      </c>
      <c r="B123" t="s">
        <v>453</v>
      </c>
      <c r="C123" t="s">
        <v>454</v>
      </c>
      <c r="E123" t="s">
        <v>242</v>
      </c>
      <c r="J123" t="s">
        <v>196</v>
      </c>
      <c r="M123"/>
      <c r="N123"/>
      <c r="O123" t="str">
        <f>_xlfn.XLOOKUP(Table1[[#This Row],[Name]],'Field name checks'!A:A,'Field name checks'!A:A,"Missing",0)</f>
        <v>Missing</v>
      </c>
    </row>
    <row r="124" spans="1:15" ht="57.6" hidden="1">
      <c r="A124" s="3" t="s">
        <v>86</v>
      </c>
      <c r="B124" t="s">
        <v>312</v>
      </c>
      <c r="C124" s="5" t="s">
        <v>455</v>
      </c>
      <c r="D124" s="5" t="s">
        <v>456</v>
      </c>
      <c r="E124" s="5" t="s">
        <v>457</v>
      </c>
      <c r="F124" t="s">
        <v>316</v>
      </c>
      <c r="J124" t="s">
        <v>196</v>
      </c>
      <c r="M124"/>
      <c r="N124"/>
      <c r="O124" t="str">
        <f>_xlfn.XLOOKUP(Table1[[#This Row],[Name]],'Field name checks'!A:A,'Field name checks'!A:A,"Missing",0)</f>
        <v>Missing</v>
      </c>
    </row>
    <row r="125" spans="1:15" hidden="1">
      <c r="A125" s="3" t="s">
        <v>86</v>
      </c>
      <c r="B125" t="s">
        <v>317</v>
      </c>
      <c r="C125" s="1" t="s">
        <v>318</v>
      </c>
      <c r="D125" s="5"/>
      <c r="E125" s="5"/>
      <c r="J125" t="s">
        <v>147</v>
      </c>
      <c r="M125"/>
      <c r="N125"/>
      <c r="O125" t="str">
        <f>_xlfn.XLOOKUP(Table1[[#This Row],[Name]],'Field name checks'!A:A,'Field name checks'!A:A,"Missing",0)</f>
        <v>Missing</v>
      </c>
    </row>
    <row r="126" spans="1:15" hidden="1">
      <c r="A126" s="3" t="s">
        <v>86</v>
      </c>
      <c r="B126" t="s">
        <v>320</v>
      </c>
      <c r="C126" s="1" t="s">
        <v>321</v>
      </c>
      <c r="D126" s="5"/>
      <c r="E126" s="5"/>
      <c r="J126" t="s">
        <v>147</v>
      </c>
      <c r="M126"/>
      <c r="N126"/>
      <c r="O126" t="str">
        <f>_xlfn.XLOOKUP(Table1[[#This Row],[Name]],'Field name checks'!A:A,'Field name checks'!A:A,"Missing",0)</f>
        <v>Missing</v>
      </c>
    </row>
    <row r="127" spans="1:15" hidden="1">
      <c r="A127" s="3" t="s">
        <v>86</v>
      </c>
      <c r="B127" t="s">
        <v>322</v>
      </c>
      <c r="C127" s="1" t="s">
        <v>323</v>
      </c>
      <c r="D127" s="5"/>
      <c r="E127" s="5"/>
      <c r="J127" t="s">
        <v>147</v>
      </c>
      <c r="M127"/>
      <c r="N127"/>
      <c r="O127" t="str">
        <f>_xlfn.XLOOKUP(Table1[[#This Row],[Name]],'Field name checks'!A:A,'Field name checks'!A:A,"Missing",0)</f>
        <v>Missing</v>
      </c>
    </row>
    <row r="128" spans="1:15" hidden="1">
      <c r="A128" s="2" t="s">
        <v>95</v>
      </c>
      <c r="B128" t="s">
        <v>458</v>
      </c>
      <c r="C128" s="1" t="s">
        <v>459</v>
      </c>
      <c r="F128" t="s">
        <v>146</v>
      </c>
      <c r="J128" t="s">
        <v>147</v>
      </c>
      <c r="M128"/>
      <c r="N128"/>
      <c r="O128" t="str">
        <f>_xlfn.XLOOKUP(Table1[[#This Row],[Name]],'Field name checks'!A:A,'Field name checks'!A:A,"Missing",0)</f>
        <v>Missing</v>
      </c>
    </row>
    <row r="129" spans="1:15" hidden="1">
      <c r="A129" t="s">
        <v>95</v>
      </c>
      <c r="B129" t="s">
        <v>222</v>
      </c>
      <c r="C129" s="1" t="s">
        <v>460</v>
      </c>
      <c r="E129" t="s">
        <v>461</v>
      </c>
      <c r="F129" t="s">
        <v>200</v>
      </c>
      <c r="J129" t="s">
        <v>196</v>
      </c>
      <c r="M129"/>
      <c r="N129"/>
      <c r="O129" t="str">
        <f>_xlfn.XLOOKUP(Table1[[#This Row],[Name]],'Field name checks'!A:A,'Field name checks'!A:A,"Missing",0)</f>
        <v>Missing</v>
      </c>
    </row>
    <row r="130" spans="1:15" hidden="1">
      <c r="A130" t="s">
        <v>95</v>
      </c>
      <c r="B130" t="s">
        <v>462</v>
      </c>
      <c r="C130" s="1" t="s">
        <v>463</v>
      </c>
      <c r="F130" t="s">
        <v>204</v>
      </c>
      <c r="J130" t="s">
        <v>196</v>
      </c>
      <c r="M130"/>
      <c r="N130"/>
      <c r="O130" t="str">
        <f>_xlfn.XLOOKUP(Table1[[#This Row],[Name]],'Field name checks'!A:A,'Field name checks'!A:A,"Missing",0)</f>
        <v>Missing</v>
      </c>
    </row>
    <row r="131" spans="1:15" hidden="1">
      <c r="A131" t="s">
        <v>95</v>
      </c>
      <c r="B131" t="s">
        <v>464</v>
      </c>
      <c r="C131" s="1" t="s">
        <v>465</v>
      </c>
      <c r="F131" t="s">
        <v>204</v>
      </c>
      <c r="J131" t="s">
        <v>147</v>
      </c>
      <c r="M131"/>
      <c r="N131"/>
      <c r="O131" t="str">
        <f>_xlfn.XLOOKUP(Table1[[#This Row],[Name]],'Field name checks'!A:A,'Field name checks'!A:A,"Missing",0)</f>
        <v>Missing</v>
      </c>
    </row>
    <row r="132" spans="1:15" s="3" customFormat="1" hidden="1">
      <c r="A132" t="s">
        <v>95</v>
      </c>
      <c r="B132" t="s">
        <v>466</v>
      </c>
      <c r="C132" s="1" t="s">
        <v>467</v>
      </c>
      <c r="D132"/>
      <c r="E132"/>
      <c r="F132" t="s">
        <v>468</v>
      </c>
      <c r="G132" s="15"/>
      <c r="H132"/>
      <c r="I132"/>
      <c r="J132" t="s">
        <v>196</v>
      </c>
      <c r="K132"/>
      <c r="O132" s="3" t="str">
        <f>_xlfn.XLOOKUP(Table1[[#This Row],[Name]],'Field name checks'!A:A,'Field name checks'!A:A,"Missing",0)</f>
        <v>Missing</v>
      </c>
    </row>
    <row r="133" spans="1:15" hidden="1">
      <c r="A133" t="s">
        <v>95</v>
      </c>
      <c r="B133" t="s">
        <v>469</v>
      </c>
      <c r="C133" s="1" t="s">
        <v>470</v>
      </c>
      <c r="E133" t="s">
        <v>471</v>
      </c>
      <c r="F133" t="s">
        <v>468</v>
      </c>
      <c r="J133" t="s">
        <v>147</v>
      </c>
      <c r="M133"/>
      <c r="N133"/>
      <c r="O133" t="str">
        <f>_xlfn.XLOOKUP(Table1[[#This Row],[Name]],'Field name checks'!A:A,'Field name checks'!A:A,"Missing",0)</f>
        <v>Missing</v>
      </c>
    </row>
    <row r="134" spans="1:15" hidden="1">
      <c r="A134" t="s">
        <v>95</v>
      </c>
      <c r="B134" t="s">
        <v>435</v>
      </c>
      <c r="C134" s="1" t="s">
        <v>472</v>
      </c>
      <c r="J134" t="s">
        <v>196</v>
      </c>
      <c r="M134"/>
      <c r="N134"/>
      <c r="O134" t="str">
        <f>_xlfn.XLOOKUP(Table1[[#This Row],[Name]],'Field name checks'!A:A,'Field name checks'!A:A,"Missing",0)</f>
        <v>Missing</v>
      </c>
    </row>
    <row r="135" spans="1:15" ht="28.9" hidden="1">
      <c r="A135" t="s">
        <v>95</v>
      </c>
      <c r="B135" t="s">
        <v>473</v>
      </c>
      <c r="C135" s="1" t="s">
        <v>474</v>
      </c>
      <c r="J135" t="s">
        <v>196</v>
      </c>
      <c r="M135"/>
      <c r="N135"/>
      <c r="O135" t="str">
        <f>_xlfn.XLOOKUP(Table1[[#This Row],[Name]],'Field name checks'!A:A,'Field name checks'!A:A,"Missing",0)</f>
        <v>Missing</v>
      </c>
    </row>
    <row r="136" spans="1:15" hidden="1">
      <c r="A136" t="s">
        <v>95</v>
      </c>
      <c r="B136" t="s">
        <v>317</v>
      </c>
      <c r="C136" s="1" t="s">
        <v>318</v>
      </c>
      <c r="F136" t="s">
        <v>319</v>
      </c>
      <c r="J136" t="s">
        <v>147</v>
      </c>
      <c r="M136"/>
      <c r="N136"/>
      <c r="O136" t="str">
        <f>_xlfn.XLOOKUP(Table1[[#This Row],[Name]],'Field name checks'!A:A,'Field name checks'!A:A,"Missing",0)</f>
        <v>Missing</v>
      </c>
    </row>
    <row r="137" spans="1:15" hidden="1">
      <c r="A137" t="s">
        <v>95</v>
      </c>
      <c r="B137" t="s">
        <v>320</v>
      </c>
      <c r="C137" s="1" t="s">
        <v>321</v>
      </c>
      <c r="F137" t="s">
        <v>200</v>
      </c>
      <c r="J137" t="s">
        <v>147</v>
      </c>
      <c r="M137"/>
      <c r="N137"/>
      <c r="O137" t="str">
        <f>_xlfn.XLOOKUP(Table1[[#This Row],[Name]],'Field name checks'!A:A,'Field name checks'!A:A,"Missing",0)</f>
        <v>Missing</v>
      </c>
    </row>
    <row r="138" spans="1:15" hidden="1">
      <c r="A138" t="s">
        <v>95</v>
      </c>
      <c r="B138" t="s">
        <v>322</v>
      </c>
      <c r="C138" s="1" t="s">
        <v>323</v>
      </c>
      <c r="F138" t="s">
        <v>324</v>
      </c>
      <c r="J138" t="s">
        <v>147</v>
      </c>
      <c r="M138"/>
      <c r="N138"/>
      <c r="O138" t="str">
        <f>_xlfn.XLOOKUP(Table1[[#This Row],[Name]],'Field name checks'!A:A,'Field name checks'!A:A,"Missing",0)</f>
        <v>Missing</v>
      </c>
    </row>
    <row r="139" spans="1:15" ht="43.15" hidden="1">
      <c r="A139" t="s">
        <v>95</v>
      </c>
      <c r="B139" t="s">
        <v>475</v>
      </c>
      <c r="C139" s="1" t="s">
        <v>476</v>
      </c>
      <c r="E139" t="s">
        <v>477</v>
      </c>
      <c r="J139" t="s">
        <v>147</v>
      </c>
      <c r="M139"/>
      <c r="N139"/>
      <c r="O139" t="str">
        <f>_xlfn.XLOOKUP(Table1[[#This Row],[Name]],'Field name checks'!A:A,'Field name checks'!A:A,"Missing",0)</f>
        <v>Missing</v>
      </c>
    </row>
    <row r="140" spans="1:15" ht="43.15" hidden="1">
      <c r="A140" t="s">
        <v>95</v>
      </c>
      <c r="B140" t="s">
        <v>478</v>
      </c>
      <c r="C140" s="1" t="s">
        <v>479</v>
      </c>
      <c r="F140" t="s">
        <v>480</v>
      </c>
      <c r="J140" t="s">
        <v>196</v>
      </c>
      <c r="M140"/>
      <c r="N140"/>
      <c r="O140" t="str">
        <f>_xlfn.XLOOKUP(Table1[[#This Row],[Name]],'Field name checks'!A:A,'Field name checks'!A:A,"Missing",0)</f>
        <v>Missing</v>
      </c>
    </row>
    <row r="141" spans="1:15" hidden="1">
      <c r="A141" t="s">
        <v>95</v>
      </c>
      <c r="B141" t="s">
        <v>164</v>
      </c>
      <c r="C141" s="1" t="s">
        <v>481</v>
      </c>
      <c r="D141" t="s">
        <v>482</v>
      </c>
      <c r="F141" t="s">
        <v>483</v>
      </c>
      <c r="J141" t="s">
        <v>147</v>
      </c>
      <c r="M141"/>
      <c r="N141"/>
      <c r="O141" t="str">
        <f>_xlfn.XLOOKUP(Table1[[#This Row],[Name]],'Field name checks'!A:A,'Field name checks'!A:A,"Missing",0)</f>
        <v>Missing</v>
      </c>
    </row>
    <row r="142" spans="1:15" ht="28.9" hidden="1">
      <c r="A142" s="2" t="s">
        <v>95</v>
      </c>
      <c r="B142" t="s">
        <v>484</v>
      </c>
      <c r="C142" s="1" t="s">
        <v>485</v>
      </c>
      <c r="D142" t="s">
        <v>486</v>
      </c>
      <c r="J142" t="s">
        <v>196</v>
      </c>
      <c r="M142"/>
      <c r="N142"/>
      <c r="O142" t="str">
        <f>_xlfn.XLOOKUP(Table1[[#This Row],[Name]],'Field name checks'!A:A,'Field name checks'!A:A,"Missing",0)</f>
        <v>Missing</v>
      </c>
    </row>
    <row r="143" spans="1:15" ht="28.9" hidden="1">
      <c r="A143" s="2" t="s">
        <v>95</v>
      </c>
      <c r="B143" t="s">
        <v>312</v>
      </c>
      <c r="C143" s="1" t="s">
        <v>487</v>
      </c>
      <c r="D143" t="s">
        <v>488</v>
      </c>
      <c r="J143" t="s">
        <v>147</v>
      </c>
      <c r="M143"/>
      <c r="N143"/>
      <c r="O143" t="str">
        <f>_xlfn.XLOOKUP(Table1[[#This Row],[Name]],'Field name checks'!A:A,'Field name checks'!A:A,"Missing",0)</f>
        <v>Missing</v>
      </c>
    </row>
    <row r="144" spans="1:15" hidden="1">
      <c r="A144" t="s">
        <v>28</v>
      </c>
      <c r="B144" t="s">
        <v>478</v>
      </c>
      <c r="C144" t="s">
        <v>489</v>
      </c>
      <c r="J144" t="s">
        <v>56</v>
      </c>
      <c r="L144" t="s">
        <v>56</v>
      </c>
      <c r="M144"/>
      <c r="N144"/>
      <c r="O144" t="str">
        <f>_xlfn.XLOOKUP(Table1[[#This Row],[Name]],'Field name checks'!A:A,'Field name checks'!A:A,"Missing",0)</f>
        <v>Missing</v>
      </c>
    </row>
    <row r="145" spans="1:15" hidden="1">
      <c r="A145" t="s">
        <v>28</v>
      </c>
      <c r="B145" t="s">
        <v>222</v>
      </c>
      <c r="C145" t="s">
        <v>490</v>
      </c>
      <c r="J145" t="s">
        <v>48</v>
      </c>
      <c r="L145" t="s">
        <v>48</v>
      </c>
      <c r="M145"/>
      <c r="N145"/>
      <c r="O145" t="str">
        <f>_xlfn.XLOOKUP(Table1[[#This Row],[Name]],'Field name checks'!A:A,'Field name checks'!A:A,"Missing",0)</f>
        <v>Missing</v>
      </c>
    </row>
    <row r="146" spans="1:15" hidden="1">
      <c r="A146" t="s">
        <v>28</v>
      </c>
      <c r="B146" t="s">
        <v>312</v>
      </c>
      <c r="C146" t="s">
        <v>491</v>
      </c>
      <c r="F146" t="s">
        <v>492</v>
      </c>
      <c r="J146" t="s">
        <v>56</v>
      </c>
      <c r="L146" t="s">
        <v>56</v>
      </c>
      <c r="M146"/>
      <c r="N146"/>
      <c r="O146" t="str">
        <f>_xlfn.XLOOKUP(Table1[[#This Row],[Name]],'Field name checks'!A:A,'Field name checks'!A:A,"Missing",0)</f>
        <v>Missing</v>
      </c>
    </row>
    <row r="147" spans="1:15" hidden="1">
      <c r="A147" t="s">
        <v>28</v>
      </c>
      <c r="B147" t="s">
        <v>493</v>
      </c>
      <c r="C147" t="s">
        <v>494</v>
      </c>
      <c r="E147" t="s">
        <v>495</v>
      </c>
      <c r="F147" t="s">
        <v>496</v>
      </c>
      <c r="G147" s="15" t="s">
        <v>497</v>
      </c>
      <c r="J147" t="s">
        <v>56</v>
      </c>
      <c r="L147" t="s">
        <v>56</v>
      </c>
      <c r="M147"/>
      <c r="N147"/>
      <c r="O147" t="str">
        <f>_xlfn.XLOOKUP(Table1[[#This Row],[Name]],'Field name checks'!A:A,'Field name checks'!A:A,"Missing",0)</f>
        <v>Missing</v>
      </c>
    </row>
    <row r="148" spans="1:15" hidden="1">
      <c r="A148" t="s">
        <v>28</v>
      </c>
      <c r="B148" t="s">
        <v>498</v>
      </c>
      <c r="C148" t="s">
        <v>499</v>
      </c>
      <c r="E148" t="s">
        <v>242</v>
      </c>
      <c r="F148" t="s">
        <v>496</v>
      </c>
      <c r="G148" t="s">
        <v>500</v>
      </c>
      <c r="J148" t="s">
        <v>48</v>
      </c>
      <c r="L148" t="s">
        <v>501</v>
      </c>
      <c r="M148"/>
      <c r="N148"/>
      <c r="O148" t="str">
        <f>_xlfn.XLOOKUP(Table1[[#This Row],[Name]],'Field name checks'!A:A,'Field name checks'!A:A,"Missing",0)</f>
        <v>Missing</v>
      </c>
    </row>
    <row r="149" spans="1:15" hidden="1">
      <c r="A149" t="s">
        <v>28</v>
      </c>
      <c r="B149" t="s">
        <v>502</v>
      </c>
      <c r="C149" t="s">
        <v>503</v>
      </c>
      <c r="E149" t="s">
        <v>504</v>
      </c>
      <c r="G149" s="15" t="s">
        <v>505</v>
      </c>
      <c r="J149" t="s">
        <v>48</v>
      </c>
      <c r="L149" t="s">
        <v>56</v>
      </c>
      <c r="M149"/>
      <c r="N149"/>
      <c r="O149" t="str">
        <f>_xlfn.XLOOKUP(Table1[[#This Row],[Name]],'Field name checks'!A:A,'Field name checks'!A:A,"Missing",0)</f>
        <v>Missing</v>
      </c>
    </row>
    <row r="150" spans="1:15" ht="28.9" hidden="1">
      <c r="A150" s="2" t="s">
        <v>28</v>
      </c>
      <c r="B150" t="s">
        <v>506</v>
      </c>
      <c r="C150" s="1" t="s">
        <v>507</v>
      </c>
      <c r="D150" t="s">
        <v>508</v>
      </c>
      <c r="E150" t="s">
        <v>509</v>
      </c>
      <c r="G150" s="15" t="s">
        <v>510</v>
      </c>
      <c r="J150" t="s">
        <v>56</v>
      </c>
      <c r="L150" t="s">
        <v>48</v>
      </c>
      <c r="M150"/>
      <c r="N150"/>
      <c r="O150" t="str">
        <f>_xlfn.XLOOKUP(Table1[[#This Row],[Name]],'Field name checks'!A:A,'Field name checks'!A:A,"Missing",0)</f>
        <v>Missing</v>
      </c>
    </row>
    <row r="151" spans="1:15" hidden="1">
      <c r="A151" t="s">
        <v>28</v>
      </c>
      <c r="B151" t="s">
        <v>511</v>
      </c>
      <c r="C151" t="s">
        <v>512</v>
      </c>
      <c r="E151" t="s">
        <v>504</v>
      </c>
      <c r="G151" s="15" t="s">
        <v>513</v>
      </c>
      <c r="J151" t="s">
        <v>48</v>
      </c>
      <c r="L151" t="s">
        <v>48</v>
      </c>
      <c r="M151"/>
      <c r="N151"/>
      <c r="O151" t="str">
        <f>_xlfn.XLOOKUP(Table1[[#This Row],[Name]],'Field name checks'!A:A,'Field name checks'!A:A,"Missing",0)</f>
        <v>Missing</v>
      </c>
    </row>
    <row r="152" spans="1:15" hidden="1">
      <c r="A152" t="s">
        <v>28</v>
      </c>
      <c r="B152" t="s">
        <v>514</v>
      </c>
      <c r="C152"/>
      <c r="E152" t="s">
        <v>515</v>
      </c>
      <c r="G152" s="15" t="s">
        <v>516</v>
      </c>
      <c r="J152" t="s">
        <v>56</v>
      </c>
      <c r="L152" t="s">
        <v>56</v>
      </c>
      <c r="M152"/>
      <c r="N152"/>
      <c r="O152" t="str">
        <f>_xlfn.XLOOKUP(Table1[[#This Row],[Name]],'Field name checks'!A:A,'Field name checks'!A:A,"Missing",0)</f>
        <v>Missing</v>
      </c>
    </row>
    <row r="153" spans="1:15" hidden="1">
      <c r="A153" t="s">
        <v>28</v>
      </c>
      <c r="B153" s="44" t="s">
        <v>517</v>
      </c>
      <c r="C153"/>
      <c r="G153" s="15" t="s">
        <v>518</v>
      </c>
      <c r="J153" t="s">
        <v>48</v>
      </c>
      <c r="L153" t="s">
        <v>48</v>
      </c>
      <c r="M153"/>
      <c r="N153"/>
      <c r="O153" t="str">
        <f>_xlfn.XLOOKUP(Table1[[#This Row],[Name]],'Field name checks'!A:A,'Field name checks'!A:A,"Missing",0)</f>
        <v>Missing</v>
      </c>
    </row>
    <row r="154" spans="1:15" hidden="1">
      <c r="A154" t="s">
        <v>28</v>
      </c>
      <c r="B154" s="44" t="s">
        <v>519</v>
      </c>
      <c r="C154"/>
      <c r="G154" s="15" t="s">
        <v>520</v>
      </c>
      <c r="J154" t="s">
        <v>48</v>
      </c>
      <c r="L154" t="s">
        <v>48</v>
      </c>
      <c r="M154"/>
      <c r="N154"/>
      <c r="O154" t="str">
        <f>_xlfn.XLOOKUP(Table1[[#This Row],[Name]],'Field name checks'!A:A,'Field name checks'!A:A,"Missing",0)</f>
        <v>Missing</v>
      </c>
    </row>
    <row r="155" spans="1:15" hidden="1">
      <c r="A155" t="s">
        <v>28</v>
      </c>
      <c r="B155" s="44" t="s">
        <v>521</v>
      </c>
      <c r="C155"/>
      <c r="G155" s="15" t="s">
        <v>522</v>
      </c>
      <c r="J155" t="s">
        <v>48</v>
      </c>
      <c r="L155" t="s">
        <v>48</v>
      </c>
      <c r="M155"/>
      <c r="N155"/>
      <c r="O155" t="str">
        <f>_xlfn.XLOOKUP(Table1[[#This Row],[Name]],'Field name checks'!A:A,'Field name checks'!A:A,"Missing",0)</f>
        <v>Missing</v>
      </c>
    </row>
    <row r="156" spans="1:15" hidden="1">
      <c r="A156" t="s">
        <v>28</v>
      </c>
      <c r="B156" s="44" t="s">
        <v>523</v>
      </c>
      <c r="C156"/>
      <c r="G156" s="15" t="s">
        <v>524</v>
      </c>
      <c r="J156" t="s">
        <v>48</v>
      </c>
      <c r="K156" s="15"/>
      <c r="L156" t="s">
        <v>48</v>
      </c>
      <c r="M156"/>
      <c r="N156"/>
      <c r="O156" t="str">
        <f>_xlfn.XLOOKUP(Table1[[#This Row],[Name]],'Field name checks'!A:A,'Field name checks'!A:A,"Missing",0)</f>
        <v>Missing</v>
      </c>
    </row>
    <row r="157" spans="1:15" hidden="1">
      <c r="A157" t="s">
        <v>28</v>
      </c>
      <c r="B157" t="s">
        <v>164</v>
      </c>
      <c r="C157" t="s">
        <v>525</v>
      </c>
      <c r="F157" t="s">
        <v>166</v>
      </c>
      <c r="G157" s="15" t="s">
        <v>526</v>
      </c>
      <c r="J157" t="s">
        <v>56</v>
      </c>
      <c r="L157" t="s">
        <v>527</v>
      </c>
      <c r="M157"/>
      <c r="N157"/>
      <c r="O157" t="str">
        <f>_xlfn.XLOOKUP(Table1[[#This Row],[Name]],'Field name checks'!A:A,'Field name checks'!A:A,"Missing",0)</f>
        <v>Missing</v>
      </c>
    </row>
    <row r="158" spans="1:15" hidden="1">
      <c r="A158" t="s">
        <v>28</v>
      </c>
      <c r="B158" t="s">
        <v>167</v>
      </c>
      <c r="C158" t="s">
        <v>528</v>
      </c>
      <c r="F158" t="s">
        <v>169</v>
      </c>
      <c r="G158" s="15" t="s">
        <v>529</v>
      </c>
      <c r="J158" t="s">
        <v>48</v>
      </c>
      <c r="L158" t="s">
        <v>48</v>
      </c>
      <c r="M158" s="49">
        <v>45952</v>
      </c>
      <c r="N158" t="s">
        <v>530</v>
      </c>
      <c r="O158" t="str">
        <f>_xlfn.XLOOKUP(Table1[[#This Row],[Name]],'Field name checks'!A:A,'Field name checks'!A:A,"Missing",0)</f>
        <v>Missing</v>
      </c>
    </row>
    <row r="159" spans="1:15" hidden="1">
      <c r="A159" t="s">
        <v>28</v>
      </c>
      <c r="B159" t="s">
        <v>531</v>
      </c>
      <c r="C159" t="s">
        <v>532</v>
      </c>
      <c r="G159" s="15" t="s">
        <v>533</v>
      </c>
      <c r="J159" t="s">
        <v>48</v>
      </c>
      <c r="L159" t="s">
        <v>48</v>
      </c>
      <c r="M159"/>
      <c r="N159"/>
      <c r="O159" t="str">
        <f>_xlfn.XLOOKUP(Table1[[#This Row],[Name]],'Field name checks'!A:A,'Field name checks'!A:A,"Missing",0)</f>
        <v>Missing</v>
      </c>
    </row>
    <row r="160" spans="1:15" hidden="1">
      <c r="A160" t="s">
        <v>28</v>
      </c>
      <c r="B160" t="s">
        <v>534</v>
      </c>
      <c r="C160" t="s">
        <v>535</v>
      </c>
      <c r="F160" t="s">
        <v>155</v>
      </c>
      <c r="G160" s="15" t="s">
        <v>536</v>
      </c>
      <c r="J160" t="s">
        <v>48</v>
      </c>
      <c r="L160" t="s">
        <v>48</v>
      </c>
      <c r="M160"/>
      <c r="N160"/>
      <c r="O160" t="str">
        <f>_xlfn.XLOOKUP(Table1[[#This Row],[Name]],'Field name checks'!A:A,'Field name checks'!A:A,"Missing",0)</f>
        <v>Missing</v>
      </c>
    </row>
    <row r="161" spans="1:15" hidden="1">
      <c r="A161" t="s">
        <v>28</v>
      </c>
      <c r="B161" t="s">
        <v>537</v>
      </c>
      <c r="C161" t="s">
        <v>538</v>
      </c>
      <c r="F161" t="s">
        <v>539</v>
      </c>
      <c r="G161" s="15" t="s">
        <v>540</v>
      </c>
      <c r="J161" t="s">
        <v>48</v>
      </c>
      <c r="L161" t="s">
        <v>48</v>
      </c>
      <c r="M161"/>
      <c r="N161"/>
      <c r="O161" t="str">
        <f>_xlfn.XLOOKUP(Table1[[#This Row],[Name]],'Field name checks'!A:A,'Field name checks'!A:A,"Missing",0)</f>
        <v>Missing</v>
      </c>
    </row>
    <row r="162" spans="1:15" hidden="1">
      <c r="A162" t="s">
        <v>28</v>
      </c>
      <c r="B162" t="s">
        <v>541</v>
      </c>
      <c r="C162" t="s">
        <v>542</v>
      </c>
      <c r="E162" t="s">
        <v>242</v>
      </c>
      <c r="G162" s="15" t="s">
        <v>543</v>
      </c>
      <c r="J162" t="s">
        <v>48</v>
      </c>
      <c r="L162" t="s">
        <v>56</v>
      </c>
      <c r="M162"/>
      <c r="N162"/>
      <c r="O162" t="str">
        <f>_xlfn.XLOOKUP(Table1[[#This Row],[Name]],'Field name checks'!A:A,'Field name checks'!A:A,"Missing",0)</f>
        <v>Missing</v>
      </c>
    </row>
    <row r="163" spans="1:15" hidden="1">
      <c r="A163" t="s">
        <v>28</v>
      </c>
      <c r="B163" t="s">
        <v>544</v>
      </c>
      <c r="C163" t="s">
        <v>545</v>
      </c>
      <c r="F163" t="s">
        <v>546</v>
      </c>
      <c r="G163" s="15" t="s">
        <v>547</v>
      </c>
      <c r="J163" t="s">
        <v>48</v>
      </c>
      <c r="L163" t="s">
        <v>48</v>
      </c>
      <c r="M163"/>
      <c r="N163"/>
      <c r="O163" t="str">
        <f>_xlfn.XLOOKUP(Table1[[#This Row],[Name]],'Field name checks'!A:A,'Field name checks'!A:A,"Missing",0)</f>
        <v>Missing</v>
      </c>
    </row>
    <row r="164" spans="1:15" hidden="1">
      <c r="A164" t="s">
        <v>28</v>
      </c>
      <c r="B164" t="s">
        <v>548</v>
      </c>
      <c r="C164" t="s">
        <v>549</v>
      </c>
      <c r="G164" s="15" t="s">
        <v>550</v>
      </c>
      <c r="J164" t="s">
        <v>48</v>
      </c>
      <c r="L164" t="s">
        <v>48</v>
      </c>
      <c r="M164"/>
      <c r="N164"/>
      <c r="O164" t="str">
        <f>_xlfn.XLOOKUP(Table1[[#This Row],[Name]],'Field name checks'!A:A,'Field name checks'!A:A,"Missing",0)</f>
        <v>Missing</v>
      </c>
    </row>
    <row r="165" spans="1:15" hidden="1">
      <c r="A165" t="s">
        <v>28</v>
      </c>
      <c r="B165" t="s">
        <v>551</v>
      </c>
      <c r="C165" t="s">
        <v>552</v>
      </c>
      <c r="G165" s="15" t="s">
        <v>104</v>
      </c>
      <c r="J165" t="s">
        <v>48</v>
      </c>
      <c r="L165" t="s">
        <v>48</v>
      </c>
      <c r="M165"/>
      <c r="N165"/>
      <c r="O165" t="str">
        <f>_xlfn.XLOOKUP(Table1[[#This Row],[Name]],'Field name checks'!A:A,'Field name checks'!A:A,"Missing",0)</f>
        <v>Missing</v>
      </c>
    </row>
    <row r="166" spans="1:15" hidden="1">
      <c r="A166" t="s">
        <v>28</v>
      </c>
      <c r="B166" t="s">
        <v>553</v>
      </c>
      <c r="C166"/>
      <c r="G166" s="15" t="s">
        <v>554</v>
      </c>
      <c r="J166" t="s">
        <v>56</v>
      </c>
      <c r="L166" t="s">
        <v>56</v>
      </c>
      <c r="M166"/>
      <c r="N166"/>
      <c r="O166" t="str">
        <f>_xlfn.XLOOKUP(Table1[[#This Row],[Name]],'Field name checks'!A:A,'Field name checks'!A:A,"Missing",0)</f>
        <v>Missing</v>
      </c>
    </row>
    <row r="167" spans="1:15" hidden="1">
      <c r="A167" t="s">
        <v>28</v>
      </c>
      <c r="B167" s="3" t="s">
        <v>555</v>
      </c>
      <c r="C167" t="s">
        <v>556</v>
      </c>
      <c r="E167" t="s">
        <v>557</v>
      </c>
      <c r="G167" s="15" t="s">
        <v>558</v>
      </c>
      <c r="J167" t="s">
        <v>56</v>
      </c>
      <c r="L167" t="s">
        <v>56</v>
      </c>
      <c r="M167"/>
      <c r="N167"/>
      <c r="O167" t="str">
        <f>_xlfn.XLOOKUP(Table1[[#This Row],[Name]],'Field name checks'!A:A,'Field name checks'!A:A,"Missing",0)</f>
        <v>Missing</v>
      </c>
    </row>
    <row r="168" spans="1:15" hidden="1">
      <c r="A168" s="2" t="s">
        <v>28</v>
      </c>
      <c r="B168" s="3" t="s">
        <v>559</v>
      </c>
      <c r="C168" s="1" t="s">
        <v>560</v>
      </c>
      <c r="E168" t="s">
        <v>557</v>
      </c>
      <c r="G168" s="15" t="s">
        <v>561</v>
      </c>
      <c r="J168" t="s">
        <v>56</v>
      </c>
      <c r="L168" t="s">
        <v>56</v>
      </c>
      <c r="M168"/>
      <c r="N168"/>
      <c r="O168" t="str">
        <f>_xlfn.XLOOKUP(Table1[[#This Row],[Name]],'Field name checks'!A:A,'Field name checks'!A:A,"Missing",0)</f>
        <v>Missing</v>
      </c>
    </row>
    <row r="169" spans="1:15" hidden="1">
      <c r="A169" t="s">
        <v>28</v>
      </c>
      <c r="B169" t="s">
        <v>562</v>
      </c>
      <c r="C169" t="s">
        <v>563</v>
      </c>
      <c r="E169" t="s">
        <v>557</v>
      </c>
      <c r="G169" s="15" t="s">
        <v>564</v>
      </c>
      <c r="J169" t="s">
        <v>48</v>
      </c>
      <c r="L169" t="s">
        <v>56</v>
      </c>
      <c r="M169"/>
      <c r="N169"/>
      <c r="O169" t="str">
        <f>_xlfn.XLOOKUP(Table1[[#This Row],[Name]],'Field name checks'!A:A,'Field name checks'!A:A,"Missing",0)</f>
        <v>Missing</v>
      </c>
    </row>
    <row r="170" spans="1:15" hidden="1">
      <c r="A170" s="2" t="s">
        <v>28</v>
      </c>
      <c r="B170" t="s">
        <v>317</v>
      </c>
      <c r="C170" s="1" t="s">
        <v>318</v>
      </c>
      <c r="F170" t="s">
        <v>319</v>
      </c>
      <c r="G170" s="15" t="s">
        <v>565</v>
      </c>
      <c r="J170" t="s">
        <v>56</v>
      </c>
      <c r="L170" t="s">
        <v>56</v>
      </c>
      <c r="M170"/>
      <c r="N170"/>
      <c r="O170" t="str">
        <f>_xlfn.XLOOKUP(Table1[[#This Row],[Name]],'Field name checks'!A:A,'Field name checks'!A:A,"Missing",0)</f>
        <v>Missing</v>
      </c>
    </row>
    <row r="171" spans="1:15" hidden="1">
      <c r="A171" s="2" t="s">
        <v>28</v>
      </c>
      <c r="B171" t="s">
        <v>320</v>
      </c>
      <c r="C171" s="1" t="s">
        <v>321</v>
      </c>
      <c r="F171" t="s">
        <v>200</v>
      </c>
      <c r="G171" s="15" t="s">
        <v>566</v>
      </c>
      <c r="J171" t="s">
        <v>56</v>
      </c>
      <c r="L171" t="s">
        <v>48</v>
      </c>
      <c r="M171"/>
      <c r="N171"/>
      <c r="O171" t="str">
        <f>_xlfn.XLOOKUP(Table1[[#This Row],[Name]],'Field name checks'!A:A,'Field name checks'!A:A,"Missing",0)</f>
        <v>Missing</v>
      </c>
    </row>
    <row r="172" spans="1:15" hidden="1">
      <c r="A172" s="2" t="s">
        <v>28</v>
      </c>
      <c r="B172" t="s">
        <v>322</v>
      </c>
      <c r="C172" s="1" t="s">
        <v>323</v>
      </c>
      <c r="F172" t="s">
        <v>324</v>
      </c>
      <c r="G172" s="15" t="s">
        <v>567</v>
      </c>
      <c r="J172" t="s">
        <v>56</v>
      </c>
      <c r="L172" t="s">
        <v>48</v>
      </c>
      <c r="M172"/>
      <c r="N172"/>
      <c r="O172" t="str">
        <f>_xlfn.XLOOKUP(Table1[[#This Row],[Name]],'Field name checks'!A:A,'Field name checks'!A:A,"Missing",0)</f>
        <v>Missing</v>
      </c>
    </row>
    <row r="173" spans="1:15" hidden="1">
      <c r="A173" s="63" t="s">
        <v>33</v>
      </c>
      <c r="B173" s="63" t="s">
        <v>167</v>
      </c>
      <c r="C173" s="63" t="s">
        <v>568</v>
      </c>
      <c r="F173" t="s">
        <v>146</v>
      </c>
      <c r="G173" s="15" t="s">
        <v>569</v>
      </c>
      <c r="J173" t="s">
        <v>56</v>
      </c>
      <c r="M173"/>
      <c r="N173"/>
      <c r="O173" t="str">
        <f>_xlfn.XLOOKUP(Table1[[#This Row],[Name]],'Field name checks'!A:A,'Field name checks'!A:A,"Missing",0)</f>
        <v>Missing</v>
      </c>
    </row>
    <row r="174" spans="1:15" hidden="1">
      <c r="A174" s="63" t="s">
        <v>33</v>
      </c>
      <c r="B174" s="63" t="s">
        <v>570</v>
      </c>
      <c r="C174" s="64" t="s">
        <v>318</v>
      </c>
      <c r="F174" t="s">
        <v>319</v>
      </c>
      <c r="G174" s="15" t="s">
        <v>571</v>
      </c>
      <c r="J174" t="s">
        <v>56</v>
      </c>
      <c r="M174" s="58">
        <v>45973</v>
      </c>
      <c r="N174" t="s">
        <v>572</v>
      </c>
      <c r="O174" t="str">
        <f>_xlfn.XLOOKUP(Table1[[#This Row],[Name]],'Field name checks'!A:A,'Field name checks'!A:A,"Missing",0)</f>
        <v>Missing</v>
      </c>
    </row>
    <row r="175" spans="1:15" hidden="1">
      <c r="A175" s="63" t="s">
        <v>33</v>
      </c>
      <c r="B175" s="63" t="s">
        <v>573</v>
      </c>
      <c r="C175" s="64" t="s">
        <v>321</v>
      </c>
      <c r="F175" t="s">
        <v>200</v>
      </c>
      <c r="G175" s="15" t="s">
        <v>574</v>
      </c>
      <c r="J175" t="s">
        <v>56</v>
      </c>
      <c r="M175" s="58">
        <v>45973</v>
      </c>
      <c r="N175" t="s">
        <v>575</v>
      </c>
      <c r="O175" t="str">
        <f>_xlfn.XLOOKUP(Table1[[#This Row],[Name]],'Field name checks'!A:A,'Field name checks'!A:A,"Missing",0)</f>
        <v>Missing</v>
      </c>
    </row>
    <row r="176" spans="1:15" hidden="1">
      <c r="A176" s="63" t="s">
        <v>33</v>
      </c>
      <c r="B176" s="63" t="s">
        <v>576</v>
      </c>
      <c r="C176" s="64" t="s">
        <v>323</v>
      </c>
      <c r="F176" t="s">
        <v>324</v>
      </c>
      <c r="G176" s="15" t="s">
        <v>577</v>
      </c>
      <c r="J176" t="s">
        <v>56</v>
      </c>
      <c r="M176" s="58">
        <v>45973</v>
      </c>
      <c r="N176" t="s">
        <v>578</v>
      </c>
      <c r="O176" t="str">
        <f>_xlfn.XLOOKUP(Table1[[#This Row],[Name]],'Field name checks'!A:A,'Field name checks'!A:A,"Missing",0)</f>
        <v>Missing</v>
      </c>
    </row>
    <row r="177" spans="1:15" ht="43.15" hidden="1">
      <c r="A177" s="63" t="s">
        <v>33</v>
      </c>
      <c r="B177" s="63" t="s">
        <v>164</v>
      </c>
      <c r="C177" s="64" t="s">
        <v>579</v>
      </c>
      <c r="J177" t="s">
        <v>56</v>
      </c>
      <c r="M177" s="49">
        <v>45938</v>
      </c>
      <c r="N177" t="s">
        <v>580</v>
      </c>
      <c r="O177" t="str">
        <f>_xlfn.XLOOKUP(Table1[[#This Row],[Name]],'Field name checks'!A:A,'Field name checks'!A:A,"Missing",0)</f>
        <v>Missing</v>
      </c>
    </row>
    <row r="178" spans="1:15" hidden="1">
      <c r="A178" s="63" t="s">
        <v>33</v>
      </c>
      <c r="B178" s="65" t="s">
        <v>581</v>
      </c>
      <c r="C178" s="65" t="s">
        <v>582</v>
      </c>
      <c r="J178" t="s">
        <v>56</v>
      </c>
      <c r="M178"/>
      <c r="N178"/>
      <c r="O178" t="str">
        <f>_xlfn.XLOOKUP(Table1[[#This Row],[Name]],'Field name checks'!A:A,'Field name checks'!A:A,"Missing",0)</f>
        <v>Missing</v>
      </c>
    </row>
    <row r="179" spans="1:15" hidden="1">
      <c r="A179" s="63" t="s">
        <v>33</v>
      </c>
      <c r="B179" s="65" t="s">
        <v>583</v>
      </c>
      <c r="C179" s="65" t="s">
        <v>584</v>
      </c>
      <c r="J179" t="s">
        <v>56</v>
      </c>
      <c r="M179"/>
      <c r="N179"/>
      <c r="O179" t="str">
        <f>_xlfn.XLOOKUP(Table1[[#This Row],[Name]],'Field name checks'!A:A,'Field name checks'!A:A,"Missing",0)</f>
        <v>Missing</v>
      </c>
    </row>
    <row r="180" spans="1:15" hidden="1">
      <c r="A180" s="63" t="s">
        <v>33</v>
      </c>
      <c r="B180" s="65" t="s">
        <v>585</v>
      </c>
      <c r="C180" s="65" t="s">
        <v>586</v>
      </c>
      <c r="E180" t="s">
        <v>587</v>
      </c>
      <c r="J180" t="s">
        <v>56</v>
      </c>
      <c r="M180"/>
      <c r="N180"/>
      <c r="O180" t="str">
        <f>_xlfn.XLOOKUP(Table1[[#This Row],[Name]],'Field name checks'!A:A,'Field name checks'!A:A,"Missing",0)</f>
        <v>Missing</v>
      </c>
    </row>
    <row r="181" spans="1:15" hidden="1">
      <c r="A181" s="63" t="s">
        <v>33</v>
      </c>
      <c r="B181" s="65" t="s">
        <v>588</v>
      </c>
      <c r="C181" s="65" t="s">
        <v>589</v>
      </c>
      <c r="E181" t="s">
        <v>242</v>
      </c>
      <c r="J181" t="s">
        <v>56</v>
      </c>
      <c r="M181"/>
      <c r="N181"/>
      <c r="O181" t="str">
        <f>_xlfn.XLOOKUP(Table1[[#This Row],[Name]],'Field name checks'!A:A,'Field name checks'!A:A,"Missing",0)</f>
        <v>Missing</v>
      </c>
    </row>
    <row r="182" spans="1:15" ht="27" hidden="1">
      <c r="A182" s="63" t="s">
        <v>33</v>
      </c>
      <c r="B182" s="65" t="s">
        <v>590</v>
      </c>
      <c r="C182" s="65" t="s">
        <v>591</v>
      </c>
      <c r="J182" t="s">
        <v>56</v>
      </c>
      <c r="M182"/>
      <c r="N182"/>
      <c r="O182" t="str">
        <f>_xlfn.XLOOKUP(Table1[[#This Row],[Name]],'Field name checks'!A:A,'Field name checks'!A:A,"Missing",0)</f>
        <v>Missing</v>
      </c>
    </row>
    <row r="183" spans="1:15" hidden="1">
      <c r="A183" s="63" t="s">
        <v>33</v>
      </c>
      <c r="B183" s="65" t="s">
        <v>592</v>
      </c>
      <c r="C183" s="65" t="s">
        <v>593</v>
      </c>
      <c r="J183" t="s">
        <v>56</v>
      </c>
      <c r="M183"/>
      <c r="N183"/>
      <c r="O183" t="str">
        <f>_xlfn.XLOOKUP(Table1[[#This Row],[Name]],'Field name checks'!A:A,'Field name checks'!A:A,"Missing",0)</f>
        <v>Missing</v>
      </c>
    </row>
    <row r="184" spans="1:15" ht="27" hidden="1">
      <c r="A184" s="63" t="s">
        <v>33</v>
      </c>
      <c r="B184" s="65" t="s">
        <v>594</v>
      </c>
      <c r="C184" s="65" t="s">
        <v>595</v>
      </c>
      <c r="J184" t="s">
        <v>56</v>
      </c>
      <c r="M184"/>
      <c r="N184"/>
      <c r="O184" t="str">
        <f>_xlfn.XLOOKUP(Table1[[#This Row],[Name]],'Field name checks'!A:A,'Field name checks'!A:A,"Missing",0)</f>
        <v>Missing</v>
      </c>
    </row>
    <row r="185" spans="1:15" ht="27" hidden="1">
      <c r="A185" s="63" t="s">
        <v>33</v>
      </c>
      <c r="B185" s="65" t="s">
        <v>596</v>
      </c>
      <c r="C185" s="65" t="s">
        <v>597</v>
      </c>
      <c r="J185" t="s">
        <v>56</v>
      </c>
      <c r="M185"/>
      <c r="N185"/>
      <c r="O185" t="str">
        <f>_xlfn.XLOOKUP(Table1[[#This Row],[Name]],'Field name checks'!A:A,'Field name checks'!A:A,"Missing",0)</f>
        <v>Missing</v>
      </c>
    </row>
    <row r="186" spans="1:15" hidden="1">
      <c r="A186" s="63" t="s">
        <v>33</v>
      </c>
      <c r="B186" s="65" t="s">
        <v>598</v>
      </c>
      <c r="C186" s="65" t="s">
        <v>599</v>
      </c>
      <c r="J186" t="s">
        <v>56</v>
      </c>
      <c r="M186"/>
      <c r="N186"/>
      <c r="O186" t="str">
        <f>_xlfn.XLOOKUP(Table1[[#This Row],[Name]],'Field name checks'!A:A,'Field name checks'!A:A,"Missing",0)</f>
        <v>Missing</v>
      </c>
    </row>
    <row r="187" spans="1:15" ht="27" hidden="1">
      <c r="A187" s="63" t="s">
        <v>33</v>
      </c>
      <c r="B187" s="65" t="s">
        <v>600</v>
      </c>
      <c r="C187" s="65" t="s">
        <v>601</v>
      </c>
      <c r="J187" t="s">
        <v>56</v>
      </c>
      <c r="M187"/>
      <c r="N187"/>
      <c r="O187" t="str">
        <f>_xlfn.XLOOKUP(Table1[[#This Row],[Name]],'Field name checks'!A:A,'Field name checks'!A:A,"Missing",0)</f>
        <v>Missing</v>
      </c>
    </row>
    <row r="188" spans="1:15" ht="27" hidden="1">
      <c r="A188" s="63" t="s">
        <v>33</v>
      </c>
      <c r="B188" s="65" t="s">
        <v>602</v>
      </c>
      <c r="C188" s="65" t="s">
        <v>603</v>
      </c>
      <c r="J188" t="s">
        <v>56</v>
      </c>
      <c r="M188"/>
      <c r="N188"/>
      <c r="O188" t="str">
        <f>_xlfn.XLOOKUP(Table1[[#This Row],[Name]],'Field name checks'!A:A,'Field name checks'!A:A,"Missing",0)</f>
        <v>Missing</v>
      </c>
    </row>
    <row r="189" spans="1:15" hidden="1">
      <c r="A189" s="63" t="s">
        <v>33</v>
      </c>
      <c r="B189" s="65" t="s">
        <v>604</v>
      </c>
      <c r="C189" s="65" t="s">
        <v>605</v>
      </c>
      <c r="J189" t="s">
        <v>56</v>
      </c>
      <c r="M189"/>
      <c r="N189"/>
      <c r="O189" t="str">
        <f>_xlfn.XLOOKUP(Table1[[#This Row],[Name]],'Field name checks'!A:A,'Field name checks'!A:A,"Missing",0)</f>
        <v>Missing</v>
      </c>
    </row>
    <row r="190" spans="1:15" ht="27" hidden="1">
      <c r="A190" s="63" t="s">
        <v>33</v>
      </c>
      <c r="B190" s="65" t="s">
        <v>606</v>
      </c>
      <c r="C190" s="65" t="s">
        <v>607</v>
      </c>
      <c r="J190" t="s">
        <v>56</v>
      </c>
      <c r="M190"/>
      <c r="N190"/>
      <c r="O190" t="str">
        <f>_xlfn.XLOOKUP(Table1[[#This Row],[Name]],'Field name checks'!A:A,'Field name checks'!A:A,"Missing",0)</f>
        <v>Missing</v>
      </c>
    </row>
    <row r="191" spans="1:15" hidden="1">
      <c r="A191" s="63" t="s">
        <v>33</v>
      </c>
      <c r="B191" s="65" t="s">
        <v>608</v>
      </c>
      <c r="C191" s="65" t="s">
        <v>609</v>
      </c>
      <c r="J191" t="s">
        <v>56</v>
      </c>
      <c r="M191"/>
      <c r="N191"/>
      <c r="O191" t="str">
        <f>_xlfn.XLOOKUP(Table1[[#This Row],[Name]],'Field name checks'!A:A,'Field name checks'!A:A,"Missing",0)</f>
        <v>Missing</v>
      </c>
    </row>
    <row r="192" spans="1:15" ht="27" hidden="1">
      <c r="A192" s="63" t="s">
        <v>33</v>
      </c>
      <c r="B192" s="65" t="s">
        <v>610</v>
      </c>
      <c r="C192" s="65" t="s">
        <v>611</v>
      </c>
      <c r="J192" t="s">
        <v>56</v>
      </c>
      <c r="M192"/>
      <c r="N192"/>
      <c r="O192" t="str">
        <f>_xlfn.XLOOKUP(Table1[[#This Row],[Name]],'Field name checks'!A:A,'Field name checks'!A:A,"Missing",0)</f>
        <v>Missing</v>
      </c>
    </row>
    <row r="193" spans="1:15" ht="27" hidden="1">
      <c r="A193" s="63" t="s">
        <v>33</v>
      </c>
      <c r="B193" s="65" t="s">
        <v>612</v>
      </c>
      <c r="C193" s="65" t="s">
        <v>613</v>
      </c>
      <c r="J193" t="s">
        <v>56</v>
      </c>
      <c r="M193"/>
      <c r="N193"/>
      <c r="O193" t="str">
        <f>_xlfn.XLOOKUP(Table1[[#This Row],[Name]],'Field name checks'!A:A,'Field name checks'!A:A,"Missing",0)</f>
        <v>Missing</v>
      </c>
    </row>
    <row r="194" spans="1:15" ht="27" hidden="1">
      <c r="A194" s="63" t="s">
        <v>33</v>
      </c>
      <c r="B194" s="65" t="s">
        <v>614</v>
      </c>
      <c r="C194" s="65" t="s">
        <v>615</v>
      </c>
      <c r="J194" t="s">
        <v>56</v>
      </c>
      <c r="M194"/>
      <c r="N194"/>
      <c r="O194" t="str">
        <f>_xlfn.XLOOKUP(Table1[[#This Row],[Name]],'Field name checks'!A:A,'Field name checks'!A:A,"Missing",0)</f>
        <v>Missing</v>
      </c>
    </row>
    <row r="195" spans="1:15" hidden="1">
      <c r="A195" s="63" t="s">
        <v>33</v>
      </c>
      <c r="B195" s="65" t="s">
        <v>616</v>
      </c>
      <c r="C195" s="65" t="s">
        <v>617</v>
      </c>
      <c r="J195" t="s">
        <v>56</v>
      </c>
      <c r="M195"/>
      <c r="N195"/>
      <c r="O195" t="str">
        <f>_xlfn.XLOOKUP(Table1[[#This Row],[Name]],'Field name checks'!A:A,'Field name checks'!A:A,"Missing",0)</f>
        <v>Missing</v>
      </c>
    </row>
    <row r="196" spans="1:15" hidden="1">
      <c r="A196" s="63" t="s">
        <v>33</v>
      </c>
      <c r="B196" s="65" t="s">
        <v>618</v>
      </c>
      <c r="C196" s="65" t="s">
        <v>619</v>
      </c>
      <c r="E196" t="s">
        <v>242</v>
      </c>
      <c r="J196" t="s">
        <v>56</v>
      </c>
      <c r="M196"/>
      <c r="N196"/>
      <c r="O196" t="str">
        <f>_xlfn.XLOOKUP(Table1[[#This Row],[Name]],'Field name checks'!A:A,'Field name checks'!A:A,"Missing",0)</f>
        <v>Missing</v>
      </c>
    </row>
    <row r="197" spans="1:15" hidden="1">
      <c r="A197" s="63" t="s">
        <v>33</v>
      </c>
      <c r="B197" s="65" t="s">
        <v>620</v>
      </c>
      <c r="C197" s="65" t="s">
        <v>621</v>
      </c>
      <c r="E197" t="s">
        <v>242</v>
      </c>
      <c r="J197" t="s">
        <v>56</v>
      </c>
      <c r="M197"/>
      <c r="N197"/>
      <c r="O197" t="str">
        <f>_xlfn.XLOOKUP(Table1[[#This Row],[Name]],'Field name checks'!A:A,'Field name checks'!A:A,"Missing",0)</f>
        <v>Missing</v>
      </c>
    </row>
    <row r="198" spans="1:15" hidden="1">
      <c r="A198" s="63" t="s">
        <v>33</v>
      </c>
      <c r="B198" s="65" t="s">
        <v>622</v>
      </c>
      <c r="C198" s="65" t="s">
        <v>623</v>
      </c>
      <c r="E198" t="s">
        <v>242</v>
      </c>
      <c r="J198" t="s">
        <v>56</v>
      </c>
      <c r="M198"/>
      <c r="N198"/>
      <c r="O198" t="str">
        <f>_xlfn.XLOOKUP(Table1[[#This Row],[Name]],'Field name checks'!A:A,'Field name checks'!A:A,"Missing",0)</f>
        <v>Missing</v>
      </c>
    </row>
    <row r="199" spans="1:15" hidden="1">
      <c r="A199" s="63" t="s">
        <v>33</v>
      </c>
      <c r="B199" s="65" t="s">
        <v>624</v>
      </c>
      <c r="C199" s="65" t="s">
        <v>625</v>
      </c>
      <c r="J199" t="s">
        <v>56</v>
      </c>
      <c r="M199"/>
      <c r="N199"/>
      <c r="O199" t="str">
        <f>_xlfn.XLOOKUP(Table1[[#This Row],[Name]],'Field name checks'!A:A,'Field name checks'!A:A,"Missing",0)</f>
        <v>Missing</v>
      </c>
    </row>
    <row r="200" spans="1:15" ht="27" hidden="1">
      <c r="A200" s="63" t="s">
        <v>33</v>
      </c>
      <c r="B200" s="65" t="s">
        <v>626</v>
      </c>
      <c r="C200" s="65" t="s">
        <v>627</v>
      </c>
      <c r="J200" t="s">
        <v>56</v>
      </c>
      <c r="M200"/>
      <c r="N200"/>
      <c r="O200" t="str">
        <f>_xlfn.XLOOKUP(Table1[[#This Row],[Name]],'Field name checks'!A:A,'Field name checks'!A:A,"Missing",0)</f>
        <v>Missing</v>
      </c>
    </row>
    <row r="201" spans="1:15" ht="27" hidden="1">
      <c r="A201" s="63" t="s">
        <v>33</v>
      </c>
      <c r="B201" s="65" t="s">
        <v>628</v>
      </c>
      <c r="C201" s="65" t="s">
        <v>629</v>
      </c>
      <c r="J201" t="s">
        <v>56</v>
      </c>
      <c r="M201"/>
      <c r="N201"/>
      <c r="O201" t="str">
        <f>_xlfn.XLOOKUP(Table1[[#This Row],[Name]],'Field name checks'!A:A,'Field name checks'!A:A,"Missing",0)</f>
        <v>Missing</v>
      </c>
    </row>
    <row r="202" spans="1:15" hidden="1">
      <c r="A202" s="63" t="s">
        <v>33</v>
      </c>
      <c r="B202" s="65" t="s">
        <v>630</v>
      </c>
      <c r="C202" s="65" t="s">
        <v>631</v>
      </c>
      <c r="J202" t="s">
        <v>56</v>
      </c>
      <c r="M202" s="58">
        <v>45973</v>
      </c>
      <c r="N202" t="s">
        <v>632</v>
      </c>
      <c r="O202" t="str">
        <f>_xlfn.XLOOKUP(Table1[[#This Row],[Name]],'Field name checks'!A:A,'Field name checks'!A:A,"Missing",0)</f>
        <v>Missing</v>
      </c>
    </row>
    <row r="203" spans="1:15" hidden="1">
      <c r="A203" s="63" t="s">
        <v>33</v>
      </c>
      <c r="B203" s="65" t="s">
        <v>633</v>
      </c>
      <c r="C203" s="65" t="s">
        <v>634</v>
      </c>
      <c r="J203" t="s">
        <v>56</v>
      </c>
      <c r="M203"/>
      <c r="N203"/>
      <c r="O203" t="str">
        <f>_xlfn.XLOOKUP(Table1[[#This Row],[Name]],'Field name checks'!A:A,'Field name checks'!A:A,"Missing",0)</f>
        <v>Missing</v>
      </c>
    </row>
    <row r="204" spans="1:15" hidden="1">
      <c r="A204" s="63" t="s">
        <v>33</v>
      </c>
      <c r="B204" s="65" t="s">
        <v>635</v>
      </c>
      <c r="C204" s="65" t="s">
        <v>636</v>
      </c>
      <c r="J204" t="s">
        <v>56</v>
      </c>
      <c r="M204"/>
      <c r="N204"/>
      <c r="O204" t="str">
        <f>_xlfn.XLOOKUP(Table1[[#This Row],[Name]],'Field name checks'!A:A,'Field name checks'!A:A,"Missing",0)</f>
        <v>Missing</v>
      </c>
    </row>
    <row r="205" spans="1:15" ht="27" hidden="1">
      <c r="A205" s="63" t="s">
        <v>33</v>
      </c>
      <c r="B205" s="65" t="s">
        <v>637</v>
      </c>
      <c r="C205" s="65" t="s">
        <v>638</v>
      </c>
      <c r="J205" t="s">
        <v>56</v>
      </c>
      <c r="M205"/>
      <c r="N205"/>
      <c r="O205" t="str">
        <f>_xlfn.XLOOKUP(Table1[[#This Row],[Name]],'Field name checks'!A:A,'Field name checks'!A:A,"Missing",0)</f>
        <v>Missing</v>
      </c>
    </row>
    <row r="206" spans="1:15" ht="27" hidden="1">
      <c r="A206" s="63" t="s">
        <v>33</v>
      </c>
      <c r="B206" s="65" t="s">
        <v>639</v>
      </c>
      <c r="C206" s="65" t="s">
        <v>640</v>
      </c>
      <c r="J206" t="s">
        <v>56</v>
      </c>
      <c r="M206"/>
      <c r="N206"/>
      <c r="O206" t="str">
        <f>_xlfn.XLOOKUP(Table1[[#This Row],[Name]],'Field name checks'!A:A,'Field name checks'!A:A,"Missing",0)</f>
        <v>Missing</v>
      </c>
    </row>
    <row r="207" spans="1:15" ht="27" hidden="1">
      <c r="A207" s="63" t="s">
        <v>33</v>
      </c>
      <c r="B207" s="65" t="s">
        <v>641</v>
      </c>
      <c r="C207" s="65" t="s">
        <v>642</v>
      </c>
      <c r="J207" t="s">
        <v>56</v>
      </c>
      <c r="M207"/>
      <c r="N207"/>
      <c r="O207" t="str">
        <f>_xlfn.XLOOKUP(Table1[[#This Row],[Name]],'Field name checks'!A:A,'Field name checks'!A:A,"Missing",0)</f>
        <v>Missing</v>
      </c>
    </row>
    <row r="208" spans="1:15" ht="27" hidden="1">
      <c r="A208" s="63" t="s">
        <v>33</v>
      </c>
      <c r="B208" s="65" t="s">
        <v>643</v>
      </c>
      <c r="C208" s="65" t="s">
        <v>644</v>
      </c>
      <c r="J208" t="s">
        <v>56</v>
      </c>
      <c r="M208"/>
      <c r="N208"/>
      <c r="O208" t="str">
        <f>_xlfn.XLOOKUP(Table1[[#This Row],[Name]],'Field name checks'!A:A,'Field name checks'!A:A,"Missing",0)</f>
        <v>Missing</v>
      </c>
    </row>
    <row r="209" spans="1:15" ht="27" hidden="1">
      <c r="A209" s="63" t="s">
        <v>33</v>
      </c>
      <c r="B209" s="65" t="s">
        <v>645</v>
      </c>
      <c r="C209" s="65" t="s">
        <v>646</v>
      </c>
      <c r="J209" t="s">
        <v>56</v>
      </c>
      <c r="M209"/>
      <c r="N209"/>
      <c r="O209" t="str">
        <f>_xlfn.XLOOKUP(Table1[[#This Row],[Name]],'Field name checks'!A:A,'Field name checks'!A:A,"Missing",0)</f>
        <v>Missing</v>
      </c>
    </row>
    <row r="210" spans="1:15" ht="27" hidden="1">
      <c r="A210" s="63" t="s">
        <v>33</v>
      </c>
      <c r="B210" s="65" t="s">
        <v>647</v>
      </c>
      <c r="C210" s="65" t="s">
        <v>648</v>
      </c>
      <c r="J210" t="s">
        <v>56</v>
      </c>
      <c r="M210"/>
      <c r="N210"/>
      <c r="O210" t="str">
        <f>_xlfn.XLOOKUP(Table1[[#This Row],[Name]],'Field name checks'!A:A,'Field name checks'!A:A,"Missing",0)</f>
        <v>Missing</v>
      </c>
    </row>
    <row r="211" spans="1:15" ht="27" hidden="1">
      <c r="A211" s="63" t="s">
        <v>33</v>
      </c>
      <c r="B211" s="65" t="s">
        <v>649</v>
      </c>
      <c r="C211" s="65" t="s">
        <v>650</v>
      </c>
      <c r="J211" t="s">
        <v>56</v>
      </c>
      <c r="M211"/>
      <c r="N211"/>
      <c r="O211" t="str">
        <f>_xlfn.XLOOKUP(Table1[[#This Row],[Name]],'Field name checks'!A:A,'Field name checks'!A:A,"Missing",0)</f>
        <v>Missing</v>
      </c>
    </row>
    <row r="212" spans="1:15" ht="27" hidden="1">
      <c r="A212" s="63" t="s">
        <v>33</v>
      </c>
      <c r="B212" s="65" t="s">
        <v>651</v>
      </c>
      <c r="C212" s="65" t="s">
        <v>652</v>
      </c>
      <c r="J212" t="s">
        <v>56</v>
      </c>
      <c r="M212"/>
      <c r="N212"/>
      <c r="O212" t="str">
        <f>_xlfn.XLOOKUP(Table1[[#This Row],[Name]],'Field name checks'!A:A,'Field name checks'!A:A,"Missing",0)</f>
        <v>Missing</v>
      </c>
    </row>
    <row r="213" spans="1:15" ht="27" hidden="1">
      <c r="A213" s="63" t="s">
        <v>33</v>
      </c>
      <c r="B213" s="65" t="s">
        <v>653</v>
      </c>
      <c r="C213" s="65" t="s">
        <v>654</v>
      </c>
      <c r="J213" t="s">
        <v>56</v>
      </c>
      <c r="M213"/>
      <c r="N213"/>
      <c r="O213" t="str">
        <f>_xlfn.XLOOKUP(Table1[[#This Row],[Name]],'Field name checks'!A:A,'Field name checks'!A:A,"Missing",0)</f>
        <v>Missing</v>
      </c>
    </row>
    <row r="214" spans="1:15" ht="27" hidden="1">
      <c r="A214" s="63" t="s">
        <v>33</v>
      </c>
      <c r="B214" s="65" t="s">
        <v>655</v>
      </c>
      <c r="C214" s="65" t="s">
        <v>656</v>
      </c>
      <c r="J214" t="s">
        <v>56</v>
      </c>
      <c r="M214"/>
      <c r="N214"/>
      <c r="O214" t="str">
        <f>_xlfn.XLOOKUP(Table1[[#This Row],[Name]],'Field name checks'!A:A,'Field name checks'!A:A,"Missing",0)</f>
        <v>Missing</v>
      </c>
    </row>
    <row r="215" spans="1:15" ht="27" hidden="1">
      <c r="A215" s="63" t="s">
        <v>33</v>
      </c>
      <c r="B215" s="65" t="s">
        <v>657</v>
      </c>
      <c r="C215" s="65" t="s">
        <v>658</v>
      </c>
      <c r="J215" t="s">
        <v>56</v>
      </c>
      <c r="M215"/>
      <c r="N215"/>
      <c r="O215" t="str">
        <f>_xlfn.XLOOKUP(Table1[[#This Row],[Name]],'Field name checks'!A:A,'Field name checks'!A:A,"Missing",0)</f>
        <v>Missing</v>
      </c>
    </row>
    <row r="216" spans="1:15" ht="27" hidden="1">
      <c r="A216" s="63" t="s">
        <v>33</v>
      </c>
      <c r="B216" s="65" t="s">
        <v>659</v>
      </c>
      <c r="C216" s="65" t="s">
        <v>660</v>
      </c>
      <c r="J216" t="s">
        <v>56</v>
      </c>
      <c r="M216"/>
      <c r="N216"/>
      <c r="O216" t="str">
        <f>_xlfn.XLOOKUP(Table1[[#This Row],[Name]],'Field name checks'!A:A,'Field name checks'!A:A,"Missing",0)</f>
        <v>Missing</v>
      </c>
    </row>
    <row r="217" spans="1:15" ht="27" hidden="1">
      <c r="A217" s="63" t="s">
        <v>33</v>
      </c>
      <c r="B217" s="65" t="s">
        <v>661</v>
      </c>
      <c r="C217" s="65" t="s">
        <v>662</v>
      </c>
      <c r="J217" t="s">
        <v>56</v>
      </c>
      <c r="M217"/>
      <c r="N217"/>
      <c r="O217" t="str">
        <f>_xlfn.XLOOKUP(Table1[[#This Row],[Name]],'Field name checks'!A:A,'Field name checks'!A:A,"Missing",0)</f>
        <v>Missing</v>
      </c>
    </row>
    <row r="218" spans="1:15" ht="27" hidden="1">
      <c r="A218" s="63" t="s">
        <v>33</v>
      </c>
      <c r="B218" s="65" t="s">
        <v>663</v>
      </c>
      <c r="C218" s="65" t="s">
        <v>664</v>
      </c>
      <c r="J218" t="s">
        <v>56</v>
      </c>
      <c r="M218"/>
      <c r="N218"/>
      <c r="O218" t="str">
        <f>_xlfn.XLOOKUP(Table1[[#This Row],[Name]],'Field name checks'!A:A,'Field name checks'!A:A,"Missing",0)</f>
        <v>Missing</v>
      </c>
    </row>
    <row r="219" spans="1:15" ht="27" hidden="1">
      <c r="A219" s="63" t="s">
        <v>33</v>
      </c>
      <c r="B219" s="65" t="s">
        <v>665</v>
      </c>
      <c r="C219" s="65" t="s">
        <v>666</v>
      </c>
      <c r="J219" t="s">
        <v>56</v>
      </c>
      <c r="M219"/>
      <c r="N219"/>
      <c r="O219" t="str">
        <f>_xlfn.XLOOKUP(Table1[[#This Row],[Name]],'Field name checks'!A:A,'Field name checks'!A:A,"Missing",0)</f>
        <v>Missing</v>
      </c>
    </row>
    <row r="220" spans="1:15" ht="27" hidden="1">
      <c r="A220" s="63" t="s">
        <v>33</v>
      </c>
      <c r="B220" s="65" t="s">
        <v>667</v>
      </c>
      <c r="C220" s="65" t="s">
        <v>668</v>
      </c>
      <c r="J220" t="s">
        <v>56</v>
      </c>
      <c r="M220"/>
      <c r="N220"/>
      <c r="O220" t="str">
        <f>_xlfn.XLOOKUP(Table1[[#This Row],[Name]],'Field name checks'!A:A,'Field name checks'!A:A,"Missing",0)</f>
        <v>Missing</v>
      </c>
    </row>
    <row r="221" spans="1:15" ht="27" hidden="1">
      <c r="A221" s="63" t="s">
        <v>33</v>
      </c>
      <c r="B221" s="65" t="s">
        <v>669</v>
      </c>
      <c r="C221" s="65" t="s">
        <v>670</v>
      </c>
      <c r="J221" t="s">
        <v>56</v>
      </c>
      <c r="M221"/>
      <c r="N221"/>
      <c r="O221" t="str">
        <f>_xlfn.XLOOKUP(Table1[[#This Row],[Name]],'Field name checks'!A:A,'Field name checks'!A:A,"Missing",0)</f>
        <v>Missing</v>
      </c>
    </row>
    <row r="222" spans="1:15" ht="40.15" hidden="1">
      <c r="A222" s="63" t="s">
        <v>33</v>
      </c>
      <c r="B222" s="65" t="s">
        <v>671</v>
      </c>
      <c r="C222" s="65" t="s">
        <v>672</v>
      </c>
      <c r="E222" t="s">
        <v>242</v>
      </c>
      <c r="J222" t="s">
        <v>56</v>
      </c>
      <c r="M222" s="58">
        <v>45973</v>
      </c>
      <c r="N222" t="s">
        <v>673</v>
      </c>
      <c r="O222" t="str">
        <f>_xlfn.XLOOKUP(Table1[[#This Row],[Name]],'Field name checks'!A:A,'Field name checks'!A:A,"Missing",0)</f>
        <v>Missing</v>
      </c>
    </row>
    <row r="223" spans="1:15" ht="40.15" hidden="1">
      <c r="A223" s="63" t="s">
        <v>33</v>
      </c>
      <c r="B223" s="65" t="s">
        <v>674</v>
      </c>
      <c r="C223" s="65" t="s">
        <v>675</v>
      </c>
      <c r="J223" t="s">
        <v>56</v>
      </c>
      <c r="M223" s="58">
        <v>45973</v>
      </c>
      <c r="N223" t="s">
        <v>676</v>
      </c>
      <c r="O223" t="str">
        <f>_xlfn.XLOOKUP(Table1[[#This Row],[Name]],'Field name checks'!A:A,'Field name checks'!A:A,"Missing",0)</f>
        <v>Missing</v>
      </c>
    </row>
    <row r="224" spans="1:15" ht="40.15" hidden="1">
      <c r="A224" s="63" t="s">
        <v>33</v>
      </c>
      <c r="B224" s="65" t="s">
        <v>677</v>
      </c>
      <c r="C224" s="65" t="s">
        <v>678</v>
      </c>
      <c r="J224" t="s">
        <v>56</v>
      </c>
      <c r="M224" s="58">
        <v>45973</v>
      </c>
      <c r="N224" t="s">
        <v>679</v>
      </c>
      <c r="O224" t="str">
        <f>_xlfn.XLOOKUP(Table1[[#This Row],[Name]],'Field name checks'!A:A,'Field name checks'!A:A,"Missing",0)</f>
        <v>Missing</v>
      </c>
    </row>
    <row r="225" spans="1:15" ht="40.15" hidden="1">
      <c r="A225" s="63" t="s">
        <v>33</v>
      </c>
      <c r="B225" s="65" t="s">
        <v>680</v>
      </c>
      <c r="C225" s="65" t="s">
        <v>681</v>
      </c>
      <c r="J225" t="s">
        <v>56</v>
      </c>
      <c r="M225" s="58">
        <v>45973</v>
      </c>
      <c r="N225" t="s">
        <v>682</v>
      </c>
      <c r="O225" t="str">
        <f>_xlfn.XLOOKUP(Table1[[#This Row],[Name]],'Field name checks'!A:A,'Field name checks'!A:A,"Missing",0)</f>
        <v>Missing</v>
      </c>
    </row>
    <row r="226" spans="1:15" hidden="1">
      <c r="A226" s="63" t="s">
        <v>33</v>
      </c>
      <c r="B226" s="65" t="s">
        <v>683</v>
      </c>
      <c r="C226" s="65" t="s">
        <v>684</v>
      </c>
      <c r="J226" t="s">
        <v>56</v>
      </c>
      <c r="M226"/>
      <c r="N226"/>
      <c r="O226" t="str">
        <f>_xlfn.XLOOKUP(Table1[[#This Row],[Name]],'Field name checks'!A:A,'Field name checks'!A:A,"Missing",0)</f>
        <v>Missing</v>
      </c>
    </row>
    <row r="227" spans="1:15" ht="27" hidden="1">
      <c r="A227" s="63" t="s">
        <v>33</v>
      </c>
      <c r="B227" s="65" t="s">
        <v>685</v>
      </c>
      <c r="C227" s="65" t="s">
        <v>686</v>
      </c>
      <c r="J227" t="s">
        <v>56</v>
      </c>
      <c r="M227"/>
      <c r="N227"/>
      <c r="O227" t="str">
        <f>_xlfn.XLOOKUP(Table1[[#This Row],[Name]],'Field name checks'!A:A,'Field name checks'!A:A,"Missing",0)</f>
        <v>Missing</v>
      </c>
    </row>
    <row r="228" spans="1:15" ht="27" hidden="1">
      <c r="A228" s="63" t="s">
        <v>33</v>
      </c>
      <c r="B228" s="65" t="s">
        <v>687</v>
      </c>
      <c r="C228" s="65" t="s">
        <v>688</v>
      </c>
      <c r="J228" t="s">
        <v>56</v>
      </c>
      <c r="M228"/>
      <c r="N228"/>
      <c r="O228" t="str">
        <f>_xlfn.XLOOKUP(Table1[[#This Row],[Name]],'Field name checks'!A:A,'Field name checks'!A:A,"Missing",0)</f>
        <v>Missing</v>
      </c>
    </row>
    <row r="229" spans="1:15" ht="27" hidden="1">
      <c r="A229" s="63" t="s">
        <v>33</v>
      </c>
      <c r="B229" s="65" t="s">
        <v>689</v>
      </c>
      <c r="C229" s="65" t="s">
        <v>690</v>
      </c>
      <c r="J229" t="s">
        <v>56</v>
      </c>
      <c r="M229"/>
      <c r="N229"/>
      <c r="O229" t="str">
        <f>_xlfn.XLOOKUP(Table1[[#This Row],[Name]],'Field name checks'!A:A,'Field name checks'!A:A,"Missing",0)</f>
        <v>Missing</v>
      </c>
    </row>
    <row r="230" spans="1:15" ht="27" hidden="1">
      <c r="A230" s="63" t="s">
        <v>33</v>
      </c>
      <c r="B230" s="65" t="s">
        <v>691</v>
      </c>
      <c r="C230" s="65" t="s">
        <v>692</v>
      </c>
      <c r="J230" t="s">
        <v>56</v>
      </c>
      <c r="M230"/>
      <c r="N230"/>
      <c r="O230" t="str">
        <f>_xlfn.XLOOKUP(Table1[[#This Row],[Name]],'Field name checks'!A:A,'Field name checks'!A:A,"Missing",0)</f>
        <v>Missing</v>
      </c>
    </row>
    <row r="231" spans="1:15" ht="27" hidden="1">
      <c r="A231" s="63" t="s">
        <v>33</v>
      </c>
      <c r="B231" s="65" t="s">
        <v>693</v>
      </c>
      <c r="C231" s="65" t="s">
        <v>694</v>
      </c>
      <c r="J231" t="s">
        <v>56</v>
      </c>
      <c r="M231"/>
      <c r="N231"/>
      <c r="O231" t="str">
        <f>_xlfn.XLOOKUP(Table1[[#This Row],[Name]],'Field name checks'!A:A,'Field name checks'!A:A,"Missing",0)</f>
        <v>Missing</v>
      </c>
    </row>
    <row r="232" spans="1:15" hidden="1">
      <c r="A232" t="s">
        <v>57</v>
      </c>
      <c r="B232" t="s">
        <v>312</v>
      </c>
      <c r="C232" s="1" t="s">
        <v>695</v>
      </c>
      <c r="D232" t="s">
        <v>696</v>
      </c>
      <c r="E232" t="s">
        <v>697</v>
      </c>
      <c r="F232" t="s">
        <v>146</v>
      </c>
      <c r="J232" t="s">
        <v>147</v>
      </c>
      <c r="M232"/>
      <c r="N232"/>
      <c r="O232" t="str">
        <f>_xlfn.XLOOKUP(Table1[[#This Row],[Name]],'Field name checks'!A:A,'Field name checks'!A:A,"Missing",0)</f>
        <v>Missing</v>
      </c>
    </row>
    <row r="233" spans="1:15" hidden="1">
      <c r="A233" t="s">
        <v>57</v>
      </c>
      <c r="B233" t="s">
        <v>698</v>
      </c>
      <c r="C233" s="1" t="s">
        <v>699</v>
      </c>
      <c r="D233" t="s">
        <v>700</v>
      </c>
      <c r="F233" t="s">
        <v>701</v>
      </c>
      <c r="J233" t="s">
        <v>147</v>
      </c>
      <c r="M233"/>
      <c r="N233"/>
      <c r="O233" t="str">
        <f>_xlfn.XLOOKUP(Table1[[#This Row],[Name]],'Field name checks'!A:A,'Field name checks'!A:A,"Missing",0)</f>
        <v>Missing</v>
      </c>
    </row>
    <row r="234" spans="1:15" hidden="1">
      <c r="A234" t="s">
        <v>57</v>
      </c>
      <c r="B234" t="s">
        <v>222</v>
      </c>
      <c r="C234" s="1" t="s">
        <v>702</v>
      </c>
      <c r="F234" t="s">
        <v>200</v>
      </c>
      <c r="J234" t="s">
        <v>147</v>
      </c>
      <c r="M234"/>
      <c r="N234"/>
      <c r="O234" t="str">
        <f>_xlfn.XLOOKUP(Table1[[#This Row],[Name]],'Field name checks'!A:A,'Field name checks'!A:A,"Missing",0)</f>
        <v>Missing</v>
      </c>
    </row>
    <row r="235" spans="1:15" hidden="1">
      <c r="A235" t="s">
        <v>57</v>
      </c>
      <c r="B235" t="s">
        <v>703</v>
      </c>
      <c r="C235" s="1" t="s">
        <v>704</v>
      </c>
      <c r="F235" t="s">
        <v>159</v>
      </c>
      <c r="G235" s="15" t="s">
        <v>705</v>
      </c>
      <c r="J235" t="s">
        <v>147</v>
      </c>
      <c r="M235"/>
      <c r="N235"/>
      <c r="O235" t="str">
        <f>_xlfn.XLOOKUP(Table1[[#This Row],[Name]],'Field name checks'!A:A,'Field name checks'!A:A,"Missing",0)</f>
        <v>Missing</v>
      </c>
    </row>
    <row r="236" spans="1:15" hidden="1">
      <c r="A236" t="s">
        <v>57</v>
      </c>
      <c r="B236" t="s">
        <v>317</v>
      </c>
      <c r="C236" s="1" t="s">
        <v>318</v>
      </c>
      <c r="F236" t="s">
        <v>319</v>
      </c>
      <c r="J236" t="s">
        <v>147</v>
      </c>
      <c r="M236"/>
      <c r="N236"/>
      <c r="O236" t="str">
        <f>_xlfn.XLOOKUP(Table1[[#This Row],[Name]],'Field name checks'!A:A,'Field name checks'!A:A,"Missing",0)</f>
        <v>Missing</v>
      </c>
    </row>
    <row r="237" spans="1:15" hidden="1">
      <c r="A237" t="s">
        <v>57</v>
      </c>
      <c r="B237" t="s">
        <v>320</v>
      </c>
      <c r="C237" s="1" t="s">
        <v>321</v>
      </c>
      <c r="F237" t="s">
        <v>200</v>
      </c>
      <c r="J237" t="s">
        <v>147</v>
      </c>
      <c r="M237"/>
      <c r="N237"/>
      <c r="O237" t="str">
        <f>_xlfn.XLOOKUP(Table1[[#This Row],[Name]],'Field name checks'!A:A,'Field name checks'!A:A,"Missing",0)</f>
        <v>Missing</v>
      </c>
    </row>
    <row r="238" spans="1:15" hidden="1">
      <c r="A238" t="s">
        <v>57</v>
      </c>
      <c r="B238" t="s">
        <v>322</v>
      </c>
      <c r="C238" s="1" t="s">
        <v>323</v>
      </c>
      <c r="F238" t="s">
        <v>324</v>
      </c>
      <c r="J238" t="s">
        <v>147</v>
      </c>
      <c r="M238"/>
      <c r="N238"/>
      <c r="O238" t="str">
        <f>_xlfn.XLOOKUP(Table1[[#This Row],[Name]],'Field name checks'!A:A,'Field name checks'!A:A,"Missing",0)</f>
        <v>Missing</v>
      </c>
    </row>
    <row r="239" spans="1:15" ht="28.9" hidden="1">
      <c r="A239" s="2" t="s">
        <v>57</v>
      </c>
      <c r="B239" t="s">
        <v>706</v>
      </c>
      <c r="C239" s="1" t="s">
        <v>707</v>
      </c>
      <c r="D239" t="s">
        <v>708</v>
      </c>
      <c r="E239" t="s">
        <v>709</v>
      </c>
      <c r="F239" t="s">
        <v>710</v>
      </c>
      <c r="G239" s="15">
        <v>0.8</v>
      </c>
      <c r="J239" t="s">
        <v>147</v>
      </c>
      <c r="M239" s="49">
        <v>45967</v>
      </c>
      <c r="N239" t="s">
        <v>711</v>
      </c>
      <c r="O239" t="str">
        <f>_xlfn.XLOOKUP(Table1[[#This Row],[Name]],'Field name checks'!A:A,'Field name checks'!A:A,"Missing",0)</f>
        <v>Missing</v>
      </c>
    </row>
    <row r="240" spans="1:15" hidden="1">
      <c r="A240" t="s">
        <v>121</v>
      </c>
      <c r="B240" t="s">
        <v>712</v>
      </c>
      <c r="C240" s="1" t="s">
        <v>713</v>
      </c>
      <c r="F240" t="s">
        <v>146</v>
      </c>
      <c r="J240" t="s">
        <v>48</v>
      </c>
      <c r="K240" t="s">
        <v>56</v>
      </c>
      <c r="M240"/>
      <c r="N240"/>
      <c r="O240" t="str">
        <f>_xlfn.XLOOKUP(Table1[[#This Row],[Name]],'Field name checks'!A:A,'Field name checks'!A:A,"Missing",0)</f>
        <v>Missing</v>
      </c>
    </row>
    <row r="241" spans="1:15" hidden="1">
      <c r="A241" t="s">
        <v>121</v>
      </c>
      <c r="B241" t="s">
        <v>238</v>
      </c>
      <c r="C241" s="1" t="s">
        <v>714</v>
      </c>
      <c r="F241" t="s">
        <v>430</v>
      </c>
      <c r="J241" t="s">
        <v>48</v>
      </c>
      <c r="K241" t="s">
        <v>56</v>
      </c>
      <c r="M241"/>
      <c r="N241"/>
      <c r="O241" t="str">
        <f>_xlfn.XLOOKUP(Table1[[#This Row],[Name]],'Field name checks'!A:A,'Field name checks'!A:A,"Missing",0)</f>
        <v>campaign_id</v>
      </c>
    </row>
    <row r="242" spans="1:15" hidden="1">
      <c r="A242" t="s">
        <v>121</v>
      </c>
      <c r="B242" t="s">
        <v>164</v>
      </c>
      <c r="C242" s="1" t="s">
        <v>715</v>
      </c>
      <c r="F242" t="s">
        <v>166</v>
      </c>
      <c r="J242" t="s">
        <v>48</v>
      </c>
      <c r="K242" t="s">
        <v>56</v>
      </c>
      <c r="M242"/>
      <c r="N242"/>
      <c r="O242" t="str">
        <f>_xlfn.XLOOKUP(Table1[[#This Row],[Name]],'Field name checks'!A:A,'Field name checks'!A:A,"Missing",0)</f>
        <v>Missing</v>
      </c>
    </row>
    <row r="243" spans="1:15" ht="28.9" hidden="1">
      <c r="A243" t="s">
        <v>121</v>
      </c>
      <c r="B243" t="s">
        <v>435</v>
      </c>
      <c r="C243" s="1" t="s">
        <v>716</v>
      </c>
      <c r="D243" t="s">
        <v>717</v>
      </c>
      <c r="E243" t="s">
        <v>718</v>
      </c>
      <c r="F243" t="s">
        <v>437</v>
      </c>
      <c r="G243" s="15" t="s">
        <v>719</v>
      </c>
      <c r="J243" t="s">
        <v>48</v>
      </c>
      <c r="K243" t="s">
        <v>56</v>
      </c>
      <c r="M243"/>
      <c r="N243"/>
      <c r="O243" t="str">
        <f>_xlfn.XLOOKUP(Table1[[#This Row],[Name]],'Field name checks'!A:A,'Field name checks'!A:A,"Missing",0)</f>
        <v>Missing</v>
      </c>
    </row>
    <row r="244" spans="1:15" ht="28.9" hidden="1">
      <c r="A244" t="s">
        <v>121</v>
      </c>
      <c r="B244" t="s">
        <v>720</v>
      </c>
      <c r="C244" s="1" t="s">
        <v>721</v>
      </c>
      <c r="D244" t="s">
        <v>722</v>
      </c>
      <c r="E244" t="s">
        <v>723</v>
      </c>
      <c r="F244" t="s">
        <v>204</v>
      </c>
      <c r="J244" t="s">
        <v>48</v>
      </c>
      <c r="K244" t="s">
        <v>48</v>
      </c>
      <c r="M244"/>
      <c r="N244"/>
      <c r="O244" t="str">
        <f>_xlfn.XLOOKUP(Table1[[#This Row],[Name]],'Field name checks'!A:A,'Field name checks'!A:A,"Missing",0)</f>
        <v>Missing</v>
      </c>
    </row>
    <row r="245" spans="1:15" hidden="1">
      <c r="A245" t="s">
        <v>121</v>
      </c>
      <c r="B245" t="s">
        <v>322</v>
      </c>
      <c r="C245" s="1" t="s">
        <v>323</v>
      </c>
      <c r="F245" t="s">
        <v>434</v>
      </c>
      <c r="J245" t="s">
        <v>48</v>
      </c>
      <c r="K245" t="s">
        <v>48</v>
      </c>
      <c r="M245"/>
      <c r="N245"/>
      <c r="O245" t="str">
        <f>_xlfn.XLOOKUP(Table1[[#This Row],[Name]],'Field name checks'!A:A,'Field name checks'!A:A,"Missing",0)</f>
        <v>Missing</v>
      </c>
    </row>
    <row r="246" spans="1:15" hidden="1">
      <c r="A246" t="s">
        <v>121</v>
      </c>
      <c r="B246" t="s">
        <v>317</v>
      </c>
      <c r="C246" s="1" t="s">
        <v>318</v>
      </c>
      <c r="F246" t="s">
        <v>200</v>
      </c>
      <c r="J246" t="s">
        <v>48</v>
      </c>
      <c r="K246" t="s">
        <v>48</v>
      </c>
      <c r="M246"/>
      <c r="N246"/>
      <c r="O246" t="str">
        <f>_xlfn.XLOOKUP(Table1[[#This Row],[Name]],'Field name checks'!A:A,'Field name checks'!A:A,"Missing",0)</f>
        <v>Missing</v>
      </c>
    </row>
    <row r="247" spans="1:15" hidden="1">
      <c r="A247" t="s">
        <v>121</v>
      </c>
      <c r="B247" t="s">
        <v>320</v>
      </c>
      <c r="C247" s="1" t="s">
        <v>321</v>
      </c>
      <c r="F247" t="s">
        <v>200</v>
      </c>
      <c r="J247" t="s">
        <v>48</v>
      </c>
      <c r="K247" t="s">
        <v>48</v>
      </c>
      <c r="M247"/>
      <c r="N247"/>
      <c r="O247" t="str">
        <f>_xlfn.XLOOKUP(Table1[[#This Row],[Name]],'Field name checks'!A:A,'Field name checks'!A:A,"Missing",0)</f>
        <v>Missing</v>
      </c>
    </row>
    <row r="248" spans="1:15" ht="28.9">
      <c r="A248" s="35" t="s">
        <v>50</v>
      </c>
      <c r="B248" t="s">
        <v>329</v>
      </c>
      <c r="C248" s="1" t="s">
        <v>724</v>
      </c>
      <c r="D248" t="s">
        <v>725</v>
      </c>
      <c r="F248" t="s">
        <v>726</v>
      </c>
      <c r="J248" t="s">
        <v>147</v>
      </c>
      <c r="N248"/>
      <c r="O248" t="str">
        <f>_xlfn.XLOOKUP(Table1[[#This Row],[Name]],'Field name checks'!A:A,'Field name checks'!A:A,"Missing",0)</f>
        <v>Missing</v>
      </c>
    </row>
    <row r="249" spans="1:15" ht="28.9" hidden="1">
      <c r="A249" s="2" t="s">
        <v>38</v>
      </c>
      <c r="B249" t="s">
        <v>164</v>
      </c>
      <c r="C249" s="52" t="s">
        <v>727</v>
      </c>
      <c r="F249" t="s">
        <v>146</v>
      </c>
      <c r="J249" t="s">
        <v>56</v>
      </c>
      <c r="M249"/>
      <c r="O249" t="str">
        <f>_xlfn.XLOOKUP(Table1[[#This Row],[Name]],'Field name checks'!A:A,'Field name checks'!A:A,"Missing",0)</f>
        <v>Missing</v>
      </c>
    </row>
    <row r="250" spans="1:15" hidden="1">
      <c r="A250" s="2" t="s">
        <v>38</v>
      </c>
      <c r="B250" t="s">
        <v>728</v>
      </c>
      <c r="C250" s="52" t="s">
        <v>729</v>
      </c>
      <c r="E250" t="s">
        <v>730</v>
      </c>
      <c r="F250" t="s">
        <v>731</v>
      </c>
      <c r="J250" t="s">
        <v>56</v>
      </c>
      <c r="M250"/>
      <c r="O250" t="str">
        <f>_xlfn.XLOOKUP(Table1[[#This Row],[Name]],'Field name checks'!A:A,'Field name checks'!A:A,"Missing",0)</f>
        <v>Missing</v>
      </c>
    </row>
    <row r="251" spans="1:15" ht="28.9" hidden="1">
      <c r="A251" s="2" t="s">
        <v>38</v>
      </c>
      <c r="B251" t="s">
        <v>732</v>
      </c>
      <c r="C251" s="52" t="s">
        <v>733</v>
      </c>
      <c r="E251" t="s">
        <v>734</v>
      </c>
      <c r="F251" t="s">
        <v>731</v>
      </c>
      <c r="J251" t="s">
        <v>56</v>
      </c>
      <c r="M251"/>
      <c r="O251" t="str">
        <f>_xlfn.XLOOKUP(Table1[[#This Row],[Name]],'Field name checks'!A:A,'Field name checks'!A:A,"Missing",0)</f>
        <v>Missing</v>
      </c>
    </row>
    <row r="252" spans="1:15" ht="28.9" hidden="1">
      <c r="A252" s="2" t="s">
        <v>38</v>
      </c>
      <c r="B252" t="s">
        <v>735</v>
      </c>
      <c r="C252" s="52" t="s">
        <v>736</v>
      </c>
      <c r="E252" t="s">
        <v>737</v>
      </c>
      <c r="F252" t="s">
        <v>731</v>
      </c>
      <c r="J252" t="s">
        <v>56</v>
      </c>
      <c r="M252"/>
      <c r="O252" t="str">
        <f>_xlfn.XLOOKUP(Table1[[#This Row],[Name]],'Field name checks'!A:A,'Field name checks'!A:A,"Missing",0)</f>
        <v>Missing</v>
      </c>
    </row>
    <row r="253" spans="1:15" ht="28.9" hidden="1">
      <c r="A253" s="2" t="s">
        <v>38</v>
      </c>
      <c r="B253" t="s">
        <v>738</v>
      </c>
      <c r="C253" s="52" t="s">
        <v>739</v>
      </c>
      <c r="E253" t="s">
        <v>740</v>
      </c>
      <c r="F253" t="s">
        <v>731</v>
      </c>
      <c r="J253" t="s">
        <v>56</v>
      </c>
      <c r="M253"/>
      <c r="O253" t="str">
        <f>_xlfn.XLOOKUP(Table1[[#This Row],[Name]],'Field name checks'!A:A,'Field name checks'!A:A,"Missing",0)</f>
        <v>Missing</v>
      </c>
    </row>
    <row r="254" spans="1:15" hidden="1">
      <c r="A254" s="2" t="s">
        <v>38</v>
      </c>
      <c r="B254" t="s">
        <v>741</v>
      </c>
      <c r="C254" s="52" t="s">
        <v>742</v>
      </c>
      <c r="E254" t="s">
        <v>743</v>
      </c>
      <c r="F254" t="s">
        <v>731</v>
      </c>
      <c r="J254" t="s">
        <v>56</v>
      </c>
      <c r="M254"/>
      <c r="O254" t="str">
        <f>_xlfn.XLOOKUP(Table1[[#This Row],[Name]],'Field name checks'!A:A,'Field name checks'!A:A,"Missing",0)</f>
        <v>Missing</v>
      </c>
    </row>
    <row r="255" spans="1:15" ht="28.9" hidden="1">
      <c r="A255" s="2" t="s">
        <v>38</v>
      </c>
      <c r="B255" t="s">
        <v>744</v>
      </c>
      <c r="C255" s="52" t="s">
        <v>745</v>
      </c>
      <c r="E255" t="s">
        <v>746</v>
      </c>
      <c r="F255" t="s">
        <v>731</v>
      </c>
      <c r="J255" t="s">
        <v>56</v>
      </c>
      <c r="M255"/>
      <c r="O255" t="str">
        <f>_xlfn.XLOOKUP(Table1[[#This Row],[Name]],'Field name checks'!A:A,'Field name checks'!A:A,"Missing",0)</f>
        <v>Missing</v>
      </c>
    </row>
    <row r="256" spans="1:15" ht="28.9" hidden="1">
      <c r="A256" s="2" t="s">
        <v>38</v>
      </c>
      <c r="B256" t="s">
        <v>747</v>
      </c>
      <c r="C256" s="52" t="s">
        <v>748</v>
      </c>
      <c r="E256" t="s">
        <v>746</v>
      </c>
      <c r="F256" t="s">
        <v>731</v>
      </c>
      <c r="J256" t="s">
        <v>56</v>
      </c>
      <c r="M256"/>
      <c r="O256" t="str">
        <f>_xlfn.XLOOKUP(Table1[[#This Row],[Name]],'Field name checks'!A:A,'Field name checks'!A:A,"Missing",0)</f>
        <v>Missing</v>
      </c>
    </row>
    <row r="257" spans="1:15" ht="28.9" hidden="1">
      <c r="A257" s="2" t="s">
        <v>38</v>
      </c>
      <c r="B257" t="s">
        <v>749</v>
      </c>
      <c r="C257" s="52" t="s">
        <v>750</v>
      </c>
      <c r="E257" t="s">
        <v>746</v>
      </c>
      <c r="F257" t="s">
        <v>731</v>
      </c>
      <c r="J257" t="s">
        <v>56</v>
      </c>
      <c r="M257"/>
      <c r="O257" t="str">
        <f>_xlfn.XLOOKUP(Table1[[#This Row],[Name]],'Field name checks'!A:A,'Field name checks'!A:A,"Missing",0)</f>
        <v>Missing</v>
      </c>
    </row>
    <row r="258" spans="1:15" ht="28.9" hidden="1">
      <c r="A258" s="2" t="s">
        <v>38</v>
      </c>
      <c r="B258" t="s">
        <v>751</v>
      </c>
      <c r="C258" s="52" t="s">
        <v>752</v>
      </c>
      <c r="E258" t="s">
        <v>746</v>
      </c>
      <c r="F258" t="s">
        <v>731</v>
      </c>
      <c r="J258" t="s">
        <v>56</v>
      </c>
      <c r="M258"/>
      <c r="O258" t="str">
        <f>_xlfn.XLOOKUP(Table1[[#This Row],[Name]],'Field name checks'!A:A,'Field name checks'!A:A,"Missing",0)</f>
        <v>Missing</v>
      </c>
    </row>
    <row r="259" spans="1:15" ht="28.9" hidden="1">
      <c r="A259" s="2" t="s">
        <v>38</v>
      </c>
      <c r="B259" t="s">
        <v>753</v>
      </c>
      <c r="C259" s="52" t="s">
        <v>754</v>
      </c>
      <c r="E259" t="s">
        <v>746</v>
      </c>
      <c r="F259" t="s">
        <v>731</v>
      </c>
      <c r="J259" t="s">
        <v>56</v>
      </c>
      <c r="M259"/>
      <c r="O259" t="str">
        <f>_xlfn.XLOOKUP(Table1[[#This Row],[Name]],'Field name checks'!A:A,'Field name checks'!A:A,"Missing",0)</f>
        <v>Missing</v>
      </c>
    </row>
    <row r="260" spans="1:15" ht="28.9" hidden="1">
      <c r="A260" s="2" t="s">
        <v>38</v>
      </c>
      <c r="B260" t="s">
        <v>755</v>
      </c>
      <c r="C260" s="52" t="s">
        <v>756</v>
      </c>
      <c r="D260" t="s">
        <v>757</v>
      </c>
      <c r="E260" t="s">
        <v>758</v>
      </c>
      <c r="F260" t="s">
        <v>731</v>
      </c>
      <c r="J260" t="s">
        <v>56</v>
      </c>
      <c r="M260"/>
      <c r="O260" t="str">
        <f>_xlfn.XLOOKUP(Table1[[#This Row],[Name]],'Field name checks'!A:A,'Field name checks'!A:A,"Missing",0)</f>
        <v>Missing</v>
      </c>
    </row>
    <row r="261" spans="1:15" ht="28.9" hidden="1">
      <c r="A261" s="2" t="s">
        <v>38</v>
      </c>
      <c r="B261" t="s">
        <v>759</v>
      </c>
      <c r="C261" s="52" t="s">
        <v>760</v>
      </c>
      <c r="F261" t="s">
        <v>731</v>
      </c>
      <c r="J261" t="s">
        <v>56</v>
      </c>
      <c r="M261"/>
      <c r="O261" t="str">
        <f>_xlfn.XLOOKUP(Table1[[#This Row],[Name]],'Field name checks'!A:A,'Field name checks'!A:A,"Missing",0)</f>
        <v>Missing</v>
      </c>
    </row>
    <row r="262" spans="1:15" hidden="1">
      <c r="A262" s="2" t="s">
        <v>38</v>
      </c>
      <c r="B262" t="s">
        <v>761</v>
      </c>
      <c r="C262" s="52" t="s">
        <v>762</v>
      </c>
      <c r="E262" t="s">
        <v>763</v>
      </c>
      <c r="F262" t="s">
        <v>731</v>
      </c>
      <c r="J262" t="s">
        <v>56</v>
      </c>
      <c r="M262"/>
      <c r="O262" t="str">
        <f>_xlfn.XLOOKUP(Table1[[#This Row],[Name]],'Field name checks'!A:A,'Field name checks'!A:A,"Missing",0)</f>
        <v>Missing</v>
      </c>
    </row>
    <row r="263" spans="1:15" ht="28.9" hidden="1">
      <c r="A263" s="2" t="s">
        <v>38</v>
      </c>
      <c r="B263" t="s">
        <v>764</v>
      </c>
      <c r="C263" s="52" t="s">
        <v>765</v>
      </c>
      <c r="E263" t="s">
        <v>766</v>
      </c>
      <c r="F263" t="s">
        <v>731</v>
      </c>
      <c r="J263" t="s">
        <v>56</v>
      </c>
      <c r="M263"/>
      <c r="O263" t="str">
        <f>_xlfn.XLOOKUP(Table1[[#This Row],[Name]],'Field name checks'!A:A,'Field name checks'!A:A,"Missing",0)</f>
        <v>Missing</v>
      </c>
    </row>
    <row r="264" spans="1:15" hidden="1">
      <c r="A264" s="2" t="s">
        <v>38</v>
      </c>
      <c r="B264" t="s">
        <v>767</v>
      </c>
      <c r="C264" s="52" t="s">
        <v>768</v>
      </c>
      <c r="E264" t="s">
        <v>769</v>
      </c>
      <c r="F264" t="s">
        <v>770</v>
      </c>
      <c r="J264" t="s">
        <v>56</v>
      </c>
      <c r="M264"/>
      <c r="O264" t="str">
        <f>_xlfn.XLOOKUP(Table1[[#This Row],[Name]],'Field name checks'!A:A,'Field name checks'!A:A,"Missing",0)</f>
        <v>Missing</v>
      </c>
    </row>
    <row r="265" spans="1:15" ht="28.9" hidden="1">
      <c r="A265" s="2" t="s">
        <v>38</v>
      </c>
      <c r="B265" t="s">
        <v>771</v>
      </c>
      <c r="C265" s="52" t="s">
        <v>772</v>
      </c>
      <c r="E265" t="s">
        <v>773</v>
      </c>
      <c r="F265" t="s">
        <v>731</v>
      </c>
      <c r="J265" t="s">
        <v>56</v>
      </c>
      <c r="M265"/>
      <c r="O265" t="str">
        <f>_xlfn.XLOOKUP(Table1[[#This Row],[Name]],'Field name checks'!A:A,'Field name checks'!A:A,"Missing",0)</f>
        <v>Missing</v>
      </c>
    </row>
    <row r="266" spans="1:15" hidden="1">
      <c r="A266" s="2" t="s">
        <v>38</v>
      </c>
      <c r="B266" t="s">
        <v>774</v>
      </c>
      <c r="C266" s="52" t="s">
        <v>775</v>
      </c>
      <c r="E266" t="s">
        <v>776</v>
      </c>
      <c r="F266" t="s">
        <v>731</v>
      </c>
      <c r="J266" t="s">
        <v>56</v>
      </c>
      <c r="M266"/>
      <c r="O266" t="str">
        <f>_xlfn.XLOOKUP(Table1[[#This Row],[Name]],'Field name checks'!A:A,'Field name checks'!A:A,"Missing",0)</f>
        <v>Missing</v>
      </c>
    </row>
    <row r="267" spans="1:15" ht="28.9" hidden="1">
      <c r="A267" s="2" t="s">
        <v>38</v>
      </c>
      <c r="B267" t="s">
        <v>777</v>
      </c>
      <c r="C267" s="52" t="s">
        <v>778</v>
      </c>
      <c r="E267" t="s">
        <v>779</v>
      </c>
      <c r="F267" t="s">
        <v>731</v>
      </c>
      <c r="J267" t="s">
        <v>56</v>
      </c>
      <c r="M267"/>
      <c r="O267" t="str">
        <f>_xlfn.XLOOKUP(Table1[[#This Row],[Name]],'Field name checks'!A:A,'Field name checks'!A:A,"Missing",0)</f>
        <v>Missing</v>
      </c>
    </row>
    <row r="268" spans="1:15" ht="28.9" hidden="1">
      <c r="A268" s="2" t="s">
        <v>38</v>
      </c>
      <c r="B268" t="s">
        <v>780</v>
      </c>
      <c r="C268" s="52" t="s">
        <v>781</v>
      </c>
      <c r="E268" t="s">
        <v>773</v>
      </c>
      <c r="F268" t="s">
        <v>731</v>
      </c>
      <c r="J268" t="s">
        <v>56</v>
      </c>
      <c r="M268"/>
      <c r="O268" t="str">
        <f>_xlfn.XLOOKUP(Table1[[#This Row],[Name]],'Field name checks'!A:A,'Field name checks'!A:A,"Missing",0)</f>
        <v>Missing</v>
      </c>
    </row>
    <row r="269" spans="1:15" hidden="1">
      <c r="A269" s="2" t="s">
        <v>38</v>
      </c>
      <c r="B269" t="s">
        <v>782</v>
      </c>
      <c r="C269" s="52" t="s">
        <v>783</v>
      </c>
      <c r="E269" t="s">
        <v>784</v>
      </c>
      <c r="F269" t="s">
        <v>731</v>
      </c>
      <c r="J269" t="s">
        <v>56</v>
      </c>
      <c r="M269"/>
      <c r="O269" t="str">
        <f>_xlfn.XLOOKUP(Table1[[#This Row],[Name]],'Field name checks'!A:A,'Field name checks'!A:A,"Missing",0)</f>
        <v>Missing</v>
      </c>
    </row>
    <row r="270" spans="1:15" ht="43.15" hidden="1">
      <c r="A270" s="2" t="s">
        <v>38</v>
      </c>
      <c r="B270" t="s">
        <v>785</v>
      </c>
      <c r="C270" s="52" t="s">
        <v>786</v>
      </c>
      <c r="E270" t="s">
        <v>787</v>
      </c>
      <c r="F270" t="s">
        <v>731</v>
      </c>
      <c r="J270" t="s">
        <v>56</v>
      </c>
      <c r="M270"/>
      <c r="O270" t="str">
        <f>_xlfn.XLOOKUP(Table1[[#This Row],[Name]],'Field name checks'!A:A,'Field name checks'!A:A,"Missing",0)</f>
        <v>Missing</v>
      </c>
    </row>
    <row r="271" spans="1:15" hidden="1">
      <c r="A271" s="2" t="s">
        <v>38</v>
      </c>
      <c r="B271" t="s">
        <v>788</v>
      </c>
      <c r="C271" s="52" t="s">
        <v>789</v>
      </c>
      <c r="D271" t="s">
        <v>790</v>
      </c>
      <c r="E271" t="s">
        <v>791</v>
      </c>
      <c r="F271" t="s">
        <v>731</v>
      </c>
      <c r="J271" t="s">
        <v>56</v>
      </c>
      <c r="M271"/>
      <c r="O271" t="str">
        <f>_xlfn.XLOOKUP(Table1[[#This Row],[Name]],'Field name checks'!A:A,'Field name checks'!A:A,"Missing",0)</f>
        <v>Missing</v>
      </c>
    </row>
    <row r="272" spans="1:15" hidden="1">
      <c r="A272" s="2" t="s">
        <v>38</v>
      </c>
      <c r="B272" t="s">
        <v>792</v>
      </c>
      <c r="C272" s="52" t="s">
        <v>793</v>
      </c>
      <c r="D272" t="s">
        <v>790</v>
      </c>
      <c r="E272" t="s">
        <v>791</v>
      </c>
      <c r="F272" t="s">
        <v>731</v>
      </c>
      <c r="J272" t="s">
        <v>56</v>
      </c>
      <c r="M272"/>
      <c r="O272" t="str">
        <f>_xlfn.XLOOKUP(Table1[[#This Row],[Name]],'Field name checks'!A:A,'Field name checks'!A:A,"Missing",0)</f>
        <v>Missing</v>
      </c>
    </row>
    <row r="273" spans="1:15" hidden="1">
      <c r="A273" s="2" t="s">
        <v>38</v>
      </c>
      <c r="B273" t="s">
        <v>794</v>
      </c>
      <c r="C273" s="52" t="s">
        <v>795</v>
      </c>
      <c r="E273" t="s">
        <v>796</v>
      </c>
      <c r="F273" t="s">
        <v>770</v>
      </c>
      <c r="J273" t="s">
        <v>56</v>
      </c>
      <c r="M273"/>
      <c r="O273" t="str">
        <f>_xlfn.XLOOKUP(Table1[[#This Row],[Name]],'Field name checks'!A:A,'Field name checks'!A:A,"Missing",0)</f>
        <v>Missing</v>
      </c>
    </row>
    <row r="274" spans="1:15" hidden="1">
      <c r="A274" s="2" t="s">
        <v>38</v>
      </c>
      <c r="B274" t="s">
        <v>797</v>
      </c>
      <c r="C274" s="52" t="s">
        <v>798</v>
      </c>
      <c r="E274" t="s">
        <v>796</v>
      </c>
      <c r="F274" t="s">
        <v>770</v>
      </c>
      <c r="J274" t="s">
        <v>56</v>
      </c>
      <c r="M274"/>
      <c r="O274" t="str">
        <f>_xlfn.XLOOKUP(Table1[[#This Row],[Name]],'Field name checks'!A:A,'Field name checks'!A:A,"Missing",0)</f>
        <v>Missing</v>
      </c>
    </row>
    <row r="275" spans="1:15" hidden="1">
      <c r="A275" s="2" t="s">
        <v>38</v>
      </c>
      <c r="B275" t="s">
        <v>799</v>
      </c>
      <c r="C275" s="52" t="s">
        <v>800</v>
      </c>
      <c r="E275" t="s">
        <v>773</v>
      </c>
      <c r="F275" t="s">
        <v>731</v>
      </c>
      <c r="J275" t="s">
        <v>56</v>
      </c>
      <c r="M275"/>
      <c r="O275" t="str">
        <f>_xlfn.XLOOKUP(Table1[[#This Row],[Name]],'Field name checks'!A:A,'Field name checks'!A:A,"Missing",0)</f>
        <v>Missing</v>
      </c>
    </row>
    <row r="276" spans="1:15" ht="28.9" hidden="1">
      <c r="A276" s="2" t="s">
        <v>38</v>
      </c>
      <c r="B276" t="s">
        <v>801</v>
      </c>
      <c r="C276" s="52" t="s">
        <v>802</v>
      </c>
      <c r="E276" t="s">
        <v>803</v>
      </c>
      <c r="F276" t="s">
        <v>770</v>
      </c>
      <c r="J276" t="s">
        <v>56</v>
      </c>
      <c r="M276" s="58">
        <v>45973</v>
      </c>
      <c r="N276" s="15" t="s">
        <v>804</v>
      </c>
      <c r="O276" t="str">
        <f>_xlfn.XLOOKUP(Table1[[#This Row],[Name]],'Field name checks'!A:A,'Field name checks'!A:A,"Missing",0)</f>
        <v>Missing</v>
      </c>
    </row>
    <row r="277" spans="1:15" ht="28.9" hidden="1">
      <c r="A277" s="2" t="s">
        <v>38</v>
      </c>
      <c r="B277" t="s">
        <v>805</v>
      </c>
      <c r="C277" s="52" t="s">
        <v>806</v>
      </c>
      <c r="E277" t="s">
        <v>807</v>
      </c>
      <c r="F277" t="s">
        <v>731</v>
      </c>
      <c r="J277" t="s">
        <v>56</v>
      </c>
      <c r="M277"/>
      <c r="O277" t="str">
        <f>_xlfn.XLOOKUP(Table1[[#This Row],[Name]],'Field name checks'!A:A,'Field name checks'!A:A,"Missing",0)</f>
        <v>Missing</v>
      </c>
    </row>
    <row r="278" spans="1:15" ht="28.9" hidden="1">
      <c r="A278" s="2" t="s">
        <v>38</v>
      </c>
      <c r="B278" t="s">
        <v>808</v>
      </c>
      <c r="C278" s="52" t="s">
        <v>809</v>
      </c>
      <c r="E278" t="s">
        <v>810</v>
      </c>
      <c r="F278" t="s">
        <v>731</v>
      </c>
      <c r="J278" t="s">
        <v>56</v>
      </c>
      <c r="M278"/>
      <c r="O278" t="str">
        <f>_xlfn.XLOOKUP(Table1[[#This Row],[Name]],'Field name checks'!A:A,'Field name checks'!A:A,"Missing",0)</f>
        <v>Missing</v>
      </c>
    </row>
    <row r="279" spans="1:15" ht="28.9" hidden="1">
      <c r="A279" s="2" t="s">
        <v>38</v>
      </c>
      <c r="B279" t="s">
        <v>811</v>
      </c>
      <c r="C279" s="52" t="s">
        <v>812</v>
      </c>
      <c r="E279" t="s">
        <v>810</v>
      </c>
      <c r="F279" t="s">
        <v>731</v>
      </c>
      <c r="J279" t="s">
        <v>56</v>
      </c>
      <c r="M279"/>
      <c r="O279" t="str">
        <f>_xlfn.XLOOKUP(Table1[[#This Row],[Name]],'Field name checks'!A:A,'Field name checks'!A:A,"Missing",0)</f>
        <v>Missing</v>
      </c>
    </row>
    <row r="280" spans="1:15" ht="28.9" hidden="1">
      <c r="A280" s="2" t="s">
        <v>38</v>
      </c>
      <c r="B280" t="s">
        <v>813</v>
      </c>
      <c r="C280" s="52" t="s">
        <v>814</v>
      </c>
      <c r="E280" t="s">
        <v>810</v>
      </c>
      <c r="F280" t="s">
        <v>731</v>
      </c>
      <c r="J280" t="s">
        <v>56</v>
      </c>
      <c r="M280"/>
      <c r="O280" t="str">
        <f>_xlfn.XLOOKUP(Table1[[#This Row],[Name]],'Field name checks'!A:A,'Field name checks'!A:A,"Missing",0)</f>
        <v>Missing</v>
      </c>
    </row>
    <row r="281" spans="1:15" hidden="1">
      <c r="A281" s="2" t="s">
        <v>38</v>
      </c>
      <c r="B281" t="s">
        <v>815</v>
      </c>
      <c r="C281" s="52" t="s">
        <v>816</v>
      </c>
      <c r="E281" t="s">
        <v>817</v>
      </c>
      <c r="F281" t="s">
        <v>731</v>
      </c>
      <c r="J281" t="s">
        <v>56</v>
      </c>
      <c r="M281"/>
      <c r="O281" t="str">
        <f>_xlfn.XLOOKUP(Table1[[#This Row],[Name]],'Field name checks'!A:A,'Field name checks'!A:A,"Missing",0)</f>
        <v>Missing</v>
      </c>
    </row>
    <row r="282" spans="1:15" hidden="1">
      <c r="A282" s="2" t="s">
        <v>38</v>
      </c>
      <c r="B282" t="s">
        <v>818</v>
      </c>
      <c r="C282" s="52" t="s">
        <v>819</v>
      </c>
      <c r="E282" t="s">
        <v>817</v>
      </c>
      <c r="F282" t="s">
        <v>731</v>
      </c>
      <c r="J282" t="s">
        <v>56</v>
      </c>
      <c r="M282"/>
      <c r="O282" t="str">
        <f>_xlfn.XLOOKUP(Table1[[#This Row],[Name]],'Field name checks'!A:A,'Field name checks'!A:A,"Missing",0)</f>
        <v>Missing</v>
      </c>
    </row>
    <row r="283" spans="1:15" hidden="1">
      <c r="A283" s="2" t="s">
        <v>38</v>
      </c>
      <c r="B283" t="s">
        <v>820</v>
      </c>
      <c r="C283" s="52" t="s">
        <v>821</v>
      </c>
      <c r="E283" t="s">
        <v>822</v>
      </c>
      <c r="F283" t="s">
        <v>731</v>
      </c>
      <c r="J283" t="s">
        <v>56</v>
      </c>
      <c r="M283"/>
      <c r="O283" t="str">
        <f>_xlfn.XLOOKUP(Table1[[#This Row],[Name]],'Field name checks'!A:A,'Field name checks'!A:A,"Missing",0)</f>
        <v>Missing</v>
      </c>
    </row>
    <row r="284" spans="1:15" ht="28.9" hidden="1">
      <c r="A284" s="2" t="s">
        <v>38</v>
      </c>
      <c r="B284" t="s">
        <v>823</v>
      </c>
      <c r="C284" s="52" t="s">
        <v>824</v>
      </c>
      <c r="E284" t="s">
        <v>822</v>
      </c>
      <c r="F284" t="s">
        <v>731</v>
      </c>
      <c r="J284" t="s">
        <v>56</v>
      </c>
      <c r="M284" s="58">
        <v>45973</v>
      </c>
      <c r="N284" s="15" t="s">
        <v>825</v>
      </c>
      <c r="O284" t="s">
        <v>826</v>
      </c>
    </row>
    <row r="285" spans="1:15" ht="28.9" hidden="1">
      <c r="A285" s="2" t="s">
        <v>38</v>
      </c>
      <c r="B285" t="s">
        <v>827</v>
      </c>
      <c r="C285" s="52" t="s">
        <v>828</v>
      </c>
      <c r="E285" t="s">
        <v>829</v>
      </c>
      <c r="F285" t="s">
        <v>731</v>
      </c>
      <c r="J285" t="s">
        <v>56</v>
      </c>
      <c r="M285" s="58">
        <v>45973</v>
      </c>
      <c r="N285" s="15" t="s">
        <v>830</v>
      </c>
      <c r="O285" t="str">
        <f>_xlfn.XLOOKUP(Table1[[#This Row],[Name]],'Field name checks'!A:A,'Field name checks'!A:A,"Missing",0)</f>
        <v>Missing</v>
      </c>
    </row>
    <row r="286" spans="1:15" ht="28.9">
      <c r="A286" s="2" t="s">
        <v>50</v>
      </c>
      <c r="B286" t="s">
        <v>380</v>
      </c>
      <c r="C286" s="1" t="s">
        <v>831</v>
      </c>
      <c r="D286" t="s">
        <v>725</v>
      </c>
      <c r="J286" t="s">
        <v>147</v>
      </c>
      <c r="O286" t="str">
        <f>_xlfn.XLOOKUP(Table1[[#This Row],[Name]],'Field name checks'!A:A,'Field name checks'!A:A,"Missing",0)</f>
        <v>Missing</v>
      </c>
    </row>
    <row r="287" spans="1:15" hidden="1">
      <c r="A287" s="2" t="s">
        <v>126</v>
      </c>
      <c r="B287" t="s">
        <v>832</v>
      </c>
      <c r="C287" s="1"/>
      <c r="O287" t="str">
        <f>_xlfn.XLOOKUP(Table1[[#This Row],[Name]],'Field name checks'!A:A,'Field name checks'!A:A,"Missing",0)</f>
        <v>Missing</v>
      </c>
    </row>
    <row r="288" spans="1:15" hidden="1">
      <c r="A288" s="2" t="s">
        <v>126</v>
      </c>
      <c r="B288" t="s">
        <v>435</v>
      </c>
      <c r="C288" s="1"/>
      <c r="O288" t="str">
        <f>_xlfn.XLOOKUP(Table1[[#This Row],[Name]],'Field name checks'!A:A,'Field name checks'!A:A,"Missing",0)</f>
        <v>Missing</v>
      </c>
    </row>
    <row r="289" spans="1:15" hidden="1">
      <c r="A289" s="2" t="s">
        <v>126</v>
      </c>
      <c r="B289" t="s">
        <v>833</v>
      </c>
      <c r="C289" s="1"/>
      <c r="O289" t="str">
        <f>_xlfn.XLOOKUP(Table1[[#This Row],[Name]],'Field name checks'!A:A,'Field name checks'!A:A,"Missing",0)</f>
        <v>Missing</v>
      </c>
    </row>
    <row r="290" spans="1:15" hidden="1">
      <c r="A290" s="2" t="s">
        <v>126</v>
      </c>
      <c r="B290" t="s">
        <v>834</v>
      </c>
      <c r="C290" s="1" t="s">
        <v>835</v>
      </c>
      <c r="F290" t="s">
        <v>146</v>
      </c>
      <c r="O290" t="str">
        <f>_xlfn.XLOOKUP(Table1[[#This Row],[Name]],'Field name checks'!A:A,'Field name checks'!A:A,"Missing",0)</f>
        <v>Missing</v>
      </c>
    </row>
    <row r="291" spans="1:15" hidden="1">
      <c r="A291" s="2" t="s">
        <v>126</v>
      </c>
      <c r="B291" t="s">
        <v>238</v>
      </c>
      <c r="C291" s="1" t="s">
        <v>836</v>
      </c>
      <c r="F291" t="s">
        <v>837</v>
      </c>
      <c r="O291" t="str">
        <f>_xlfn.XLOOKUP(Table1[[#This Row],[Name]],'Field name checks'!A:A,'Field name checks'!A:A,"Missing",0)</f>
        <v>campaign_id</v>
      </c>
    </row>
    <row r="292" spans="1:15" hidden="1">
      <c r="A292" s="2" t="s">
        <v>126</v>
      </c>
      <c r="B292" t="s">
        <v>475</v>
      </c>
      <c r="C292" s="1"/>
      <c r="O292" t="str">
        <f>_xlfn.XLOOKUP(Table1[[#This Row],[Name]],'Field name checks'!A:A,'Field name checks'!A:A,"Missing",0)</f>
        <v>Missing</v>
      </c>
    </row>
    <row r="293" spans="1:15" hidden="1">
      <c r="A293" s="2" t="s">
        <v>126</v>
      </c>
      <c r="B293" t="s">
        <v>838</v>
      </c>
      <c r="C293" s="1"/>
      <c r="O293" t="str">
        <f>_xlfn.XLOOKUP(Table1[[#This Row],[Name]],'Field name checks'!A:A,'Field name checks'!A:A,"Missing",0)</f>
        <v>Missing</v>
      </c>
    </row>
    <row r="294" spans="1:15" hidden="1">
      <c r="A294" s="2" t="s">
        <v>126</v>
      </c>
      <c r="B294" t="s">
        <v>839</v>
      </c>
      <c r="C294" s="1"/>
      <c r="O294" t="str">
        <f>_xlfn.XLOOKUP(Table1[[#This Row],[Name]],'Field name checks'!A:A,'Field name checks'!A:A,"Missing",0)</f>
        <v>Missing</v>
      </c>
    </row>
    <row r="295" spans="1:15" hidden="1">
      <c r="A295" s="2" t="s">
        <v>126</v>
      </c>
      <c r="B295" t="s">
        <v>840</v>
      </c>
      <c r="C295" s="1"/>
      <c r="O295" t="str">
        <f>_xlfn.XLOOKUP(Table1[[#This Row],[Name]],'Field name checks'!A:A,'Field name checks'!A:A,"Missing",0)</f>
        <v>Missing</v>
      </c>
    </row>
    <row r="296" spans="1:15" hidden="1">
      <c r="A296" s="2" t="s">
        <v>126</v>
      </c>
      <c r="B296" t="s">
        <v>841</v>
      </c>
      <c r="C296" s="1"/>
      <c r="O296" t="str">
        <f>_xlfn.XLOOKUP(Table1[[#This Row],[Name]],'Field name checks'!A:A,'Field name checks'!A:A,"Missing",0)</f>
        <v>Missing</v>
      </c>
    </row>
    <row r="297" spans="1:15" hidden="1">
      <c r="A297" s="2" t="s">
        <v>126</v>
      </c>
      <c r="B297" t="s">
        <v>842</v>
      </c>
      <c r="C297" s="1"/>
      <c r="O297" t="str">
        <f>_xlfn.XLOOKUP(Table1[[#This Row],[Name]],'Field name checks'!A:A,'Field name checks'!A:A,"Missing",0)</f>
        <v>Missing</v>
      </c>
    </row>
    <row r="298" spans="1:15" hidden="1">
      <c r="A298" s="2" t="s">
        <v>126</v>
      </c>
      <c r="B298" t="s">
        <v>843</v>
      </c>
      <c r="C298" s="1"/>
      <c r="O298" t="str">
        <f>_xlfn.XLOOKUP(Table1[[#This Row],[Name]],'Field name checks'!A:A,'Field name checks'!A:A,"Missing",0)</f>
        <v>Missing</v>
      </c>
    </row>
    <row r="299" spans="1:15" hidden="1">
      <c r="A299" s="2" t="s">
        <v>126</v>
      </c>
      <c r="B299" t="s">
        <v>844</v>
      </c>
      <c r="C299" s="1"/>
      <c r="O299" t="str">
        <f>_xlfn.XLOOKUP(Table1[[#This Row],[Name]],'Field name checks'!A:A,'Field name checks'!A:A,"Missing",0)</f>
        <v>Missing</v>
      </c>
    </row>
    <row r="300" spans="1:15" hidden="1">
      <c r="A300" s="2" t="s">
        <v>126</v>
      </c>
      <c r="B300" t="s">
        <v>845</v>
      </c>
      <c r="C300" s="1"/>
      <c r="O300" t="str">
        <f>_xlfn.XLOOKUP(Table1[[#This Row],[Name]],'Field name checks'!A:A,'Field name checks'!A:A,"Missing",0)</f>
        <v>Missing</v>
      </c>
    </row>
    <row r="301" spans="1:15" hidden="1">
      <c r="A301" s="2" t="s">
        <v>126</v>
      </c>
      <c r="B301" t="s">
        <v>846</v>
      </c>
      <c r="C301" s="1"/>
      <c r="O301" t="str">
        <f>_xlfn.XLOOKUP(Table1[[#This Row],[Name]],'Field name checks'!A:A,'Field name checks'!A:A,"Missing",0)</f>
        <v>Missing</v>
      </c>
    </row>
    <row r="302" spans="1:15" hidden="1">
      <c r="A302" s="2" t="s">
        <v>126</v>
      </c>
      <c r="B302" t="s">
        <v>847</v>
      </c>
      <c r="C302" s="1"/>
      <c r="O302" t="str">
        <f>_xlfn.XLOOKUP(Table1[[#This Row],[Name]],'Field name checks'!A:A,'Field name checks'!A:A,"Missing",0)</f>
        <v>Missing</v>
      </c>
    </row>
    <row r="303" spans="1:15" hidden="1">
      <c r="A303" s="2" t="s">
        <v>126</v>
      </c>
      <c r="B303" t="s">
        <v>848</v>
      </c>
      <c r="C303" s="1"/>
      <c r="O303" t="str">
        <f>_xlfn.XLOOKUP(Table1[[#This Row],[Name]],'Field name checks'!A:A,'Field name checks'!A:A,"Missing",0)</f>
        <v>Missing</v>
      </c>
    </row>
    <row r="304" spans="1:15" hidden="1">
      <c r="A304" s="2" t="s">
        <v>126</v>
      </c>
      <c r="B304" t="s">
        <v>849</v>
      </c>
      <c r="C304" s="1"/>
      <c r="O304" t="str">
        <f>_xlfn.XLOOKUP(Table1[[#This Row],[Name]],'Field name checks'!A:A,'Field name checks'!A:A,"Missing",0)</f>
        <v>Missing</v>
      </c>
    </row>
    <row r="305" spans="1:15" hidden="1">
      <c r="A305" s="2" t="s">
        <v>126</v>
      </c>
      <c r="B305" t="s">
        <v>850</v>
      </c>
      <c r="C305" s="1"/>
      <c r="O305" t="str">
        <f>_xlfn.XLOOKUP(Table1[[#This Row],[Name]],'Field name checks'!A:A,'Field name checks'!A:A,"Missing",0)</f>
        <v>Missing</v>
      </c>
    </row>
    <row r="306" spans="1:15" hidden="1">
      <c r="A306" s="2" t="s">
        <v>126</v>
      </c>
      <c r="B306" t="s">
        <v>851</v>
      </c>
      <c r="C306" s="1" t="s">
        <v>852</v>
      </c>
      <c r="O306" t="str">
        <f>_xlfn.XLOOKUP(Table1[[#This Row],[Name]],'Field name checks'!A:A,'Field name checks'!A:A,"Missing",0)</f>
        <v>Missing</v>
      </c>
    </row>
    <row r="307" spans="1:15" hidden="1">
      <c r="A307" s="2" t="s">
        <v>126</v>
      </c>
      <c r="B307" t="s">
        <v>853</v>
      </c>
      <c r="C307" s="1"/>
      <c r="O307" t="str">
        <f>_xlfn.XLOOKUP(Table1[[#This Row],[Name]],'Field name checks'!A:A,'Field name checks'!A:A,"Missing",0)</f>
        <v>Missing</v>
      </c>
    </row>
    <row r="308" spans="1:15" hidden="1">
      <c r="A308" s="2" t="s">
        <v>126</v>
      </c>
      <c r="B308" t="s">
        <v>854</v>
      </c>
      <c r="C308" s="1"/>
      <c r="O308" t="str">
        <f>_xlfn.XLOOKUP(Table1[[#This Row],[Name]],'Field name checks'!A:A,'Field name checks'!A:A,"Missing",0)</f>
        <v>Missing</v>
      </c>
    </row>
    <row r="309" spans="1:15" hidden="1">
      <c r="A309" s="2" t="s">
        <v>126</v>
      </c>
      <c r="B309" t="s">
        <v>855</v>
      </c>
      <c r="C309" s="1"/>
      <c r="O309" t="str">
        <f>_xlfn.XLOOKUP(Table1[[#This Row],[Name]],'Field name checks'!A:A,'Field name checks'!A:A,"Missing",0)</f>
        <v>Missing</v>
      </c>
    </row>
    <row r="310" spans="1:15" hidden="1">
      <c r="A310" s="2" t="s">
        <v>126</v>
      </c>
      <c r="B310" t="s">
        <v>856</v>
      </c>
      <c r="C310" s="1"/>
      <c r="O310" t="str">
        <f>_xlfn.XLOOKUP(Table1[[#This Row],[Name]],'Field name checks'!A:A,'Field name checks'!A:A,"Missing",0)</f>
        <v>Missing</v>
      </c>
    </row>
    <row r="311" spans="1:15" hidden="1">
      <c r="A311" s="2" t="s">
        <v>126</v>
      </c>
      <c r="B311" t="s">
        <v>857</v>
      </c>
      <c r="C311" s="1"/>
      <c r="O311" t="str">
        <f>_xlfn.XLOOKUP(Table1[[#This Row],[Name]],'Field name checks'!A:A,'Field name checks'!A:A,"Missing",0)</f>
        <v>Missing</v>
      </c>
    </row>
    <row r="312" spans="1:15" hidden="1">
      <c r="A312" s="2" t="s">
        <v>126</v>
      </c>
      <c r="B312" t="s">
        <v>858</v>
      </c>
      <c r="C312" s="1"/>
      <c r="O312" t="str">
        <f>_xlfn.XLOOKUP(Table1[[#This Row],[Name]],'Field name checks'!A:A,'Field name checks'!A:A,"Missing",0)</f>
        <v>Missing</v>
      </c>
    </row>
    <row r="313" spans="1:15" hidden="1">
      <c r="A313" s="2" t="s">
        <v>126</v>
      </c>
      <c r="B313" t="s">
        <v>859</v>
      </c>
      <c r="C313" s="1" t="s">
        <v>860</v>
      </c>
      <c r="O313" t="str">
        <f>_xlfn.XLOOKUP(Table1[[#This Row],[Name]],'Field name checks'!A:A,'Field name checks'!A:A,"Missing",0)</f>
        <v>Missing</v>
      </c>
    </row>
    <row r="314" spans="1:15" hidden="1">
      <c r="A314" s="2" t="s">
        <v>126</v>
      </c>
      <c r="B314" t="s">
        <v>861</v>
      </c>
      <c r="C314" s="1"/>
      <c r="O314" t="str">
        <f>_xlfn.XLOOKUP(Table1[[#This Row],[Name]],'Field name checks'!A:A,'Field name checks'!A:A,"Missing",0)</f>
        <v>Missing</v>
      </c>
    </row>
    <row r="315" spans="1:15" hidden="1">
      <c r="A315" s="2" t="s">
        <v>126</v>
      </c>
      <c r="B315" t="s">
        <v>862</v>
      </c>
      <c r="C315" s="1"/>
      <c r="O315" t="str">
        <f>_xlfn.XLOOKUP(Table1[[#This Row],[Name]],'Field name checks'!A:A,'Field name checks'!A:A,"Missing",0)</f>
        <v>Missing</v>
      </c>
    </row>
    <row r="316" spans="1:15" hidden="1">
      <c r="A316" s="2" t="s">
        <v>126</v>
      </c>
      <c r="B316" t="s">
        <v>863</v>
      </c>
      <c r="C316" s="1"/>
      <c r="O316" t="str">
        <f>_xlfn.XLOOKUP(Table1[[#This Row],[Name]],'Field name checks'!A:A,'Field name checks'!A:A,"Missing",0)</f>
        <v>Missing</v>
      </c>
    </row>
    <row r="317" spans="1:15" hidden="1">
      <c r="A317" s="2" t="s">
        <v>126</v>
      </c>
      <c r="B317" t="s">
        <v>864</v>
      </c>
      <c r="C317" s="1"/>
      <c r="O317" t="str">
        <f>_xlfn.XLOOKUP(Table1[[#This Row],[Name]],'Field name checks'!A:A,'Field name checks'!A:A,"Missing",0)</f>
        <v>Missing</v>
      </c>
    </row>
    <row r="318" spans="1:15" hidden="1">
      <c r="A318" s="2" t="s">
        <v>126</v>
      </c>
      <c r="B318" t="s">
        <v>865</v>
      </c>
      <c r="C318" s="1"/>
      <c r="O318" t="str">
        <f>_xlfn.XLOOKUP(Table1[[#This Row],[Name]],'Field name checks'!A:A,'Field name checks'!A:A,"Missing",0)</f>
        <v>Missing</v>
      </c>
    </row>
    <row r="319" spans="1:15" hidden="1">
      <c r="A319" s="2" t="s">
        <v>126</v>
      </c>
      <c r="B319" t="s">
        <v>866</v>
      </c>
      <c r="C319" s="1"/>
      <c r="O319" t="str">
        <f>_xlfn.XLOOKUP(Table1[[#This Row],[Name]],'Field name checks'!A:A,'Field name checks'!A:A,"Missing",0)</f>
        <v>Missing</v>
      </c>
    </row>
    <row r="320" spans="1:15" hidden="1">
      <c r="A320" s="2" t="s">
        <v>126</v>
      </c>
      <c r="B320" t="s">
        <v>867</v>
      </c>
      <c r="C320" s="1"/>
      <c r="O320" t="str">
        <f>_xlfn.XLOOKUP(Table1[[#This Row],[Name]],'Field name checks'!A:A,'Field name checks'!A:A,"Missing",0)</f>
        <v>Missing</v>
      </c>
    </row>
    <row r="321" spans="1:15" hidden="1">
      <c r="A321" s="2" t="s">
        <v>126</v>
      </c>
      <c r="B321" t="s">
        <v>868</v>
      </c>
      <c r="C321" s="1"/>
      <c r="O321" t="str">
        <f>_xlfn.XLOOKUP(Table1[[#This Row],[Name]],'Field name checks'!A:A,'Field name checks'!A:A,"Missing",0)</f>
        <v>Missing</v>
      </c>
    </row>
    <row r="322" spans="1:15" hidden="1">
      <c r="A322" s="2" t="s">
        <v>126</v>
      </c>
      <c r="B322" t="s">
        <v>869</v>
      </c>
      <c r="C322" s="1"/>
      <c r="O322" t="str">
        <f>_xlfn.XLOOKUP(Table1[[#This Row],[Name]],'Field name checks'!A:A,'Field name checks'!A:A,"Missing",0)</f>
        <v>Missing</v>
      </c>
    </row>
    <row r="323" spans="1:15" hidden="1">
      <c r="A323" s="2" t="s">
        <v>126</v>
      </c>
      <c r="B323" t="s">
        <v>870</v>
      </c>
      <c r="C323" s="1"/>
      <c r="O323" t="str">
        <f>_xlfn.XLOOKUP(Table1[[#This Row],[Name]],'Field name checks'!A:A,'Field name checks'!A:A,"Missing",0)</f>
        <v>Missing</v>
      </c>
    </row>
    <row r="324" spans="1:15" hidden="1">
      <c r="A324" s="2" t="s">
        <v>126</v>
      </c>
      <c r="B324" t="s">
        <v>871</v>
      </c>
      <c r="C324" s="1"/>
      <c r="O324" t="str">
        <f>_xlfn.XLOOKUP(Table1[[#This Row],[Name]],'Field name checks'!A:A,'Field name checks'!A:A,"Missing",0)</f>
        <v>Missing</v>
      </c>
    </row>
    <row r="325" spans="1:15" hidden="1">
      <c r="A325" s="2" t="s">
        <v>126</v>
      </c>
      <c r="B325" t="s">
        <v>872</v>
      </c>
      <c r="C325" s="1"/>
      <c r="O325" t="str">
        <f>_xlfn.XLOOKUP(Table1[[#This Row],[Name]],'Field name checks'!A:A,'Field name checks'!A:A,"Missing",0)</f>
        <v>Missing</v>
      </c>
    </row>
    <row r="326" spans="1:15" hidden="1">
      <c r="A326" s="2" t="s">
        <v>126</v>
      </c>
      <c r="B326" t="s">
        <v>873</v>
      </c>
      <c r="C326" s="1"/>
      <c r="O326" t="str">
        <f>_xlfn.XLOOKUP(Table1[[#This Row],[Name]],'Field name checks'!A:A,'Field name checks'!A:A,"Missing",0)</f>
        <v>Missing</v>
      </c>
    </row>
    <row r="327" spans="1:15" hidden="1">
      <c r="A327" s="2" t="s">
        <v>126</v>
      </c>
      <c r="B327" t="s">
        <v>874</v>
      </c>
      <c r="C327" s="1"/>
      <c r="O327" t="str">
        <f>_xlfn.XLOOKUP(Table1[[#This Row],[Name]],'Field name checks'!A:A,'Field name checks'!A:A,"Missing",0)</f>
        <v>Missing</v>
      </c>
    </row>
    <row r="328" spans="1:15" hidden="1">
      <c r="A328" s="2" t="s">
        <v>126</v>
      </c>
      <c r="B328" t="s">
        <v>875</v>
      </c>
      <c r="C328" s="1"/>
      <c r="O328" t="str">
        <f>_xlfn.XLOOKUP(Table1[[#This Row],[Name]],'Field name checks'!A:A,'Field name checks'!A:A,"Missing",0)</f>
        <v>Missing</v>
      </c>
    </row>
    <row r="329" spans="1:15" hidden="1">
      <c r="A329" s="2" t="s">
        <v>126</v>
      </c>
      <c r="B329" t="s">
        <v>312</v>
      </c>
      <c r="C329" s="1"/>
      <c r="O329" t="str">
        <f>_xlfn.XLOOKUP(Table1[[#This Row],[Name]],'Field name checks'!A:A,'Field name checks'!A:A,"Missing",0)</f>
        <v>Missing</v>
      </c>
    </row>
    <row r="330" spans="1:15" hidden="1">
      <c r="A330" s="2" t="s">
        <v>126</v>
      </c>
      <c r="B330" t="s">
        <v>876</v>
      </c>
      <c r="C330" s="1"/>
      <c r="O330" t="str">
        <f>_xlfn.XLOOKUP(Table1[[#This Row],[Name]],'Field name checks'!A:A,'Field name checks'!A:A,"Missing",0)</f>
        <v>Missing</v>
      </c>
    </row>
    <row r="331" spans="1:15" hidden="1">
      <c r="A331" s="2" t="s">
        <v>126</v>
      </c>
      <c r="B331" t="s">
        <v>877</v>
      </c>
      <c r="C331" s="1"/>
      <c r="O331" t="str">
        <f>_xlfn.XLOOKUP(Table1[[#This Row],[Name]],'Field name checks'!A:A,'Field name checks'!A:A,"Missing",0)</f>
        <v>Missing</v>
      </c>
    </row>
    <row r="332" spans="1:15" hidden="1">
      <c r="A332" s="2" t="s">
        <v>126</v>
      </c>
      <c r="B332" t="s">
        <v>878</v>
      </c>
      <c r="C332" s="1"/>
      <c r="O332" t="str">
        <f>_xlfn.XLOOKUP(Table1[[#This Row],[Name]],'Field name checks'!A:A,'Field name checks'!A:A,"Missing",0)</f>
        <v>Missing</v>
      </c>
    </row>
    <row r="333" spans="1:15" hidden="1">
      <c r="A333" s="2" t="s">
        <v>126</v>
      </c>
      <c r="B333" t="s">
        <v>879</v>
      </c>
      <c r="C333" s="1"/>
      <c r="O333" t="str">
        <f>_xlfn.XLOOKUP(Table1[[#This Row],[Name]],'Field name checks'!A:A,'Field name checks'!A:A,"Missing",0)</f>
        <v>Missing</v>
      </c>
    </row>
    <row r="334" spans="1:15" hidden="1">
      <c r="A334" s="2" t="s">
        <v>126</v>
      </c>
      <c r="B334" t="s">
        <v>880</v>
      </c>
      <c r="C334" s="1"/>
      <c r="O334" t="str">
        <f>_xlfn.XLOOKUP(Table1[[#This Row],[Name]],'Field name checks'!A:A,'Field name checks'!A:A,"Missing",0)</f>
        <v>Missing</v>
      </c>
    </row>
    <row r="335" spans="1:15" hidden="1">
      <c r="A335" s="2" t="s">
        <v>126</v>
      </c>
      <c r="B335" t="s">
        <v>881</v>
      </c>
      <c r="C335" s="1"/>
      <c r="O335" t="str">
        <f>_xlfn.XLOOKUP(Table1[[#This Row],[Name]],'Field name checks'!A:A,'Field name checks'!A:A,"Missing",0)</f>
        <v>Missing</v>
      </c>
    </row>
    <row r="336" spans="1:15" hidden="1">
      <c r="A336" s="2" t="s">
        <v>126</v>
      </c>
      <c r="B336" t="s">
        <v>882</v>
      </c>
      <c r="C336" s="1"/>
      <c r="O336" t="str">
        <f>_xlfn.XLOOKUP(Table1[[#This Row],[Name]],'Field name checks'!A:A,'Field name checks'!A:A,"Missing",0)</f>
        <v>Missing</v>
      </c>
    </row>
    <row r="337" spans="1:15" ht="28.9">
      <c r="A337" s="2" t="s">
        <v>50</v>
      </c>
      <c r="B337" t="s">
        <v>883</v>
      </c>
      <c r="C337" s="1" t="s">
        <v>884</v>
      </c>
      <c r="D337" t="s">
        <v>885</v>
      </c>
      <c r="F337" t="s">
        <v>316</v>
      </c>
      <c r="J337" t="s">
        <v>147</v>
      </c>
      <c r="M337" s="58">
        <v>45961</v>
      </c>
      <c r="N337" t="s">
        <v>245</v>
      </c>
      <c r="O337" t="str">
        <f>_xlfn.XLOOKUP(Table1[[#This Row],[Name]],'Field name checks'!A:A,'Field name checks'!A:A,"Missing",0)</f>
        <v>Missing</v>
      </c>
    </row>
    <row r="338" spans="1:15">
      <c r="A338" s="2" t="s">
        <v>50</v>
      </c>
      <c r="B338" t="s">
        <v>886</v>
      </c>
      <c r="C338" s="1" t="s">
        <v>887</v>
      </c>
      <c r="D338" t="s">
        <v>888</v>
      </c>
      <c r="F338" t="s">
        <v>316</v>
      </c>
      <c r="J338" t="s">
        <v>147</v>
      </c>
      <c r="M338" s="58">
        <v>45961</v>
      </c>
      <c r="N338" t="s">
        <v>245</v>
      </c>
      <c r="O338" t="str">
        <f>_xlfn.XLOOKUP(Table1[[#This Row],[Name]],'Field name checks'!A:A,'Field name checks'!A:A,"Missing",0)</f>
        <v>Missing</v>
      </c>
    </row>
    <row r="339" spans="1:15" hidden="1">
      <c r="A339" s="2"/>
      <c r="C339" s="1"/>
      <c r="O339" t="str">
        <f>_xlfn.XLOOKUP(Table1[[#This Row],[Name]],'Field name checks'!A:A,'Field name checks'!A:A,"Missing",0)</f>
        <v>Missing</v>
      </c>
    </row>
    <row r="340" spans="1:15">
      <c r="A340" s="2" t="s">
        <v>50</v>
      </c>
      <c r="B340" t="s">
        <v>238</v>
      </c>
      <c r="C340" s="1" t="s">
        <v>889</v>
      </c>
      <c r="D340" t="s">
        <v>890</v>
      </c>
      <c r="E340" t="s">
        <v>891</v>
      </c>
      <c r="F340" t="s">
        <v>892</v>
      </c>
      <c r="O340" t="str">
        <f>_xlfn.XLOOKUP(Table1[[#This Row],[Name]],'Field name checks'!A:A,'Field name checks'!A:A,"Missing",0)</f>
        <v>campaign_id</v>
      </c>
    </row>
  </sheetData>
  <sortState xmlns:xlrd2="http://schemas.microsoft.com/office/spreadsheetml/2017/richdata2" ref="A2:J104">
    <sortCondition ref="A2:A104"/>
  </sortState>
  <conditionalFormatting sqref="A306 C306:N306">
    <cfRule type="expression" dxfId="15" priority="17" stopIfTrue="1">
      <formula>AND($M306&gt;=TODAY()-7,$M306&lt;=TODAY())</formula>
    </cfRule>
    <cfRule type="expression" dxfId="14" priority="25">
      <formula>AND($M306&gt;=TODAY()-30,$M306&lt;=TODAY())</formula>
    </cfRule>
  </conditionalFormatting>
  <conditionalFormatting sqref="A340">
    <cfRule type="expression" dxfId="13" priority="5" stopIfTrue="1">
      <formula>AND($M340&gt;=TODAY()-7,$M340&lt;=TODAY())</formula>
    </cfRule>
    <cfRule type="expression" dxfId="12" priority="6">
      <formula>AND($M340&gt;=TODAY()-30,$M340&lt;=TODAY())</formula>
    </cfRule>
  </conditionalFormatting>
  <conditionalFormatting sqref="A2:N46 A47:C47 E47:N47 A48:N62 A63:C63 E63:N63 A307:N340 A64:N305">
    <cfRule type="expression" dxfId="11" priority="8">
      <formula>AND($M2&gt;=TODAY()-30,$M2&lt;=TODAY())</formula>
    </cfRule>
  </conditionalFormatting>
  <conditionalFormatting sqref="A307:N340 A2:N46 A47:C47 E47:N47 A48:N62 A63:C63 E63:N63 A64:N305">
    <cfRule type="expression" dxfId="10" priority="7" stopIfTrue="1">
      <formula>AND($M2&gt;=TODAY()-7,$M2&lt;=TODAY())</formula>
    </cfRule>
  </conditionalFormatting>
  <conditionalFormatting sqref="D63:E63">
    <cfRule type="expression" dxfId="9" priority="27">
      <formula>AND($M47&gt;=TODAY()-30,$M47&lt;=TODAY())</formula>
    </cfRule>
    <cfRule type="expression" dxfId="8" priority="29" stopIfTrue="1">
      <formula>AND($M47&gt;=TODAY()-7,$M47&lt;=TODAY())</formula>
    </cfRule>
  </conditionalFormatting>
  <dataValidations count="2">
    <dataValidation allowBlank="1" showInputMessage="1" showErrorMessage="1" sqref="A1" xr:uid="{EAF3A632-FFC2-461F-8E3C-46D4F5CA1EA8}"/>
    <dataValidation type="date" allowBlank="1" showInputMessage="1" showErrorMessage="1" sqref="M1:M1048576" xr:uid="{9F207A6D-F3EF-471C-870F-C97E3BFD9D39}">
      <formula1>45658</formula1>
      <formula2>47484</formula2>
    </dataValidation>
  </dataValidations>
  <pageMargins left="0.7" right="0.7" top="0.75" bottom="0.75" header="0.3" footer="0.3"/>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52E9584E-E360-4444-A992-FE8290AD3AAE}">
          <x14:formula1>
            <xm:f>objects!$A:$A</xm:f>
          </x14:formula1>
          <xm:sqref>A2:A1048576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F558C-9E31-412C-AA08-A55766B5CFA6}">
  <dimension ref="A1:B40"/>
  <sheetViews>
    <sheetView workbookViewId="0">
      <selection activeCell="C23" sqref="C23"/>
    </sheetView>
  </sheetViews>
  <sheetFormatPr defaultRowHeight="14.45"/>
  <cols>
    <col min="1" max="1" width="32" bestFit="1" customWidth="1"/>
  </cols>
  <sheetData>
    <row r="1" spans="1:2" ht="15.6">
      <c r="A1" s="61" t="s">
        <v>893</v>
      </c>
    </row>
    <row r="2" spans="1:2">
      <c r="A2" s="15" t="s">
        <v>240</v>
      </c>
      <c r="B2" t="str">
        <f>_xlfn.XLOOKUP(A2,Attributes!O:O,Attributes!O:O,"Missing")</f>
        <v>campaign_name</v>
      </c>
    </row>
    <row r="3" spans="1:2">
      <c r="A3" s="15" t="s">
        <v>238</v>
      </c>
      <c r="B3" t="str">
        <f>_xlfn.XLOOKUP(A3,Attributes!O:O,Attributes!O:O,"Missing")</f>
        <v>campaign_id</v>
      </c>
    </row>
    <row r="4" spans="1:2">
      <c r="A4" s="15" t="s">
        <v>243</v>
      </c>
      <c r="B4" t="str">
        <f>_xlfn.XLOOKUP(A4,Attributes!O:O,Attributes!O:O,"Missing")</f>
        <v>dmo_monday_id</v>
      </c>
    </row>
    <row r="5" spans="1:2">
      <c r="A5" s="15" t="s">
        <v>246</v>
      </c>
      <c r="B5" t="str">
        <f>_xlfn.XLOOKUP(A5,Attributes!O:O,Attributes!O:O,"Missing")</f>
        <v>activity_status</v>
      </c>
    </row>
    <row r="6" spans="1:2">
      <c r="A6" s="15" t="s">
        <v>250</v>
      </c>
      <c r="B6" t="str">
        <f>_xlfn.XLOOKUP(A6,Attributes!O:O,Attributes!O:O,"Missing")</f>
        <v>marketing_lead_name</v>
      </c>
    </row>
    <row r="7" spans="1:2">
      <c r="A7" s="15" t="s">
        <v>252</v>
      </c>
      <c r="B7" t="str">
        <f>_xlfn.XLOOKUP(A7,Attributes!O:O,Attributes!O:O,"Missing")</f>
        <v>contributer_name</v>
      </c>
    </row>
    <row r="8" spans="1:2">
      <c r="A8" s="15" t="s">
        <v>255</v>
      </c>
      <c r="B8" t="str">
        <f>_xlfn.XLOOKUP(A8,Attributes!O:O,Attributes!O:O,"Missing")</f>
        <v>campaign_planned_start_date</v>
      </c>
    </row>
    <row r="9" spans="1:2">
      <c r="A9" s="15" t="s">
        <v>257</v>
      </c>
      <c r="B9" t="str">
        <f>_xlfn.XLOOKUP(A9,Attributes!O:O,Attributes!O:O,"Missing")</f>
        <v>campaign_live_date</v>
      </c>
    </row>
    <row r="10" spans="1:2">
      <c r="A10" s="15" t="s">
        <v>259</v>
      </c>
      <c r="B10" t="str">
        <f>_xlfn.XLOOKUP(A10,Attributes!O:O,Attributes!O:O,"Missing")</f>
        <v>engaged_team_name</v>
      </c>
    </row>
    <row r="11" spans="1:2">
      <c r="A11" s="15" t="s">
        <v>262</v>
      </c>
      <c r="B11" t="str">
        <f>_xlfn.XLOOKUP(A11,Attributes!O:O,Attributes!O:O,"Missing")</f>
        <v>campaign_summary</v>
      </c>
    </row>
    <row r="12" spans="1:2">
      <c r="A12" s="15" t="s">
        <v>265</v>
      </c>
      <c r="B12" t="str">
        <f>_xlfn.XLOOKUP(A12,Attributes!O:O,Attributes!O:O,"Missing")</f>
        <v>engagement_stage_classification</v>
      </c>
    </row>
    <row r="13" spans="1:2">
      <c r="A13" s="15" t="s">
        <v>267</v>
      </c>
      <c r="B13" t="str">
        <f>_xlfn.XLOOKUP(A13,Attributes!O:O,Attributes!O:O,"Missing")</f>
        <v>activity_type</v>
      </c>
    </row>
    <row r="14" spans="1:2">
      <c r="A14" s="15" t="s">
        <v>269</v>
      </c>
      <c r="B14" t="str">
        <f>_xlfn.XLOOKUP(A14,Attributes!O:O,Attributes!O:O,"Missing")</f>
        <v>impacted_segment_name</v>
      </c>
    </row>
    <row r="15" spans="1:2">
      <c r="A15" s="15" t="s">
        <v>274</v>
      </c>
      <c r="B15" t="str">
        <f>_xlfn.XLOOKUP(A15,Attributes!O:O,Attributes!O:O,"Missing")</f>
        <v>campaign_theme_name</v>
      </c>
    </row>
    <row r="16" spans="1:2">
      <c r="A16" s="15" t="s">
        <v>276</v>
      </c>
      <c r="B16" t="str">
        <f>_xlfn.XLOOKUP(A16,Attributes!O:O,Attributes!O:O,"Missing")</f>
        <v>product_area</v>
      </c>
    </row>
    <row r="17" spans="1:2">
      <c r="A17" s="15" t="s">
        <v>278</v>
      </c>
      <c r="B17" t="str">
        <f>_xlfn.XLOOKUP(A17,Attributes!O:O,Attributes!O:O,"Missing")</f>
        <v>impacted_region</v>
      </c>
    </row>
    <row r="18" spans="1:2">
      <c r="A18" s="15" t="s">
        <v>281</v>
      </c>
      <c r="B18" t="str">
        <f>_xlfn.XLOOKUP(A18,Attributes!O:O,Attributes!O:O,"Missing")</f>
        <v>strategic_pillar</v>
      </c>
    </row>
    <row r="19" spans="1:2">
      <c r="A19" s="15" t="s">
        <v>283</v>
      </c>
      <c r="B19" t="str">
        <f>_xlfn.XLOOKUP(A19,Attributes!O:O,Attributes!O:O,"Missing")</f>
        <v>campaign_purpose</v>
      </c>
    </row>
    <row r="20" spans="1:2">
      <c r="A20" s="15" t="s">
        <v>285</v>
      </c>
      <c r="B20" t="str">
        <f>_xlfn.XLOOKUP(A20,Attributes!O:O,Attributes!O:O,"Missing")</f>
        <v>business_vertical</v>
      </c>
    </row>
    <row r="21" spans="1:2">
      <c r="A21" s="15" t="s">
        <v>288</v>
      </c>
      <c r="B21" t="str">
        <f>_xlfn.XLOOKUP(A21,Attributes!O:O,Attributes!O:O,"Missing")</f>
        <v>partner_name</v>
      </c>
    </row>
    <row r="22" spans="1:2">
      <c r="A22" s="15" t="s">
        <v>290</v>
      </c>
      <c r="B22" t="str">
        <f>_xlfn.XLOOKUP(A22,Attributes!O:O,Attributes!O:O,"Missing")</f>
        <v>agency_support_ind</v>
      </c>
    </row>
    <row r="23" spans="1:2">
      <c r="A23" s="15" t="s">
        <v>292</v>
      </c>
      <c r="B23" t="str">
        <f>_xlfn.XLOOKUP(A23,Attributes!O:O,Attributes!O:O,"Missing")</f>
        <v>agency_name</v>
      </c>
    </row>
    <row r="24" spans="1:2">
      <c r="A24" s="15" t="s">
        <v>294</v>
      </c>
      <c r="B24" t="str">
        <f>_xlfn.XLOOKUP(A24,Attributes!O:O,Attributes!O:O,"Missing")</f>
        <v>brand_name</v>
      </c>
    </row>
    <row r="25" spans="1:2">
      <c r="A25" s="15" t="s">
        <v>298</v>
      </c>
      <c r="B25" t="str">
        <f>_xlfn.XLOOKUP(A25,Attributes!O:O,Attributes!O:O,"Missing")</f>
        <v>estimated_outcome_gross_margin</v>
      </c>
    </row>
    <row r="26" spans="1:2">
      <c r="A26" s="15" t="s">
        <v>301</v>
      </c>
      <c r="B26" t="str">
        <f>_xlfn.XLOOKUP(A26,Attributes!O:O,Attributes!O:O,"Missing")</f>
        <v>estimated_outcome_sov</v>
      </c>
    </row>
    <row r="27" spans="1:2">
      <c r="A27" s="15" t="s">
        <v>303</v>
      </c>
      <c r="B27" t="str">
        <f>_xlfn.XLOOKUP(A27,Attributes!O:O,Attributes!O:O,"Missing")</f>
        <v>estimated_outcome_roix1</v>
      </c>
    </row>
    <row r="28" spans="1:2">
      <c r="A28" s="15" t="s">
        <v>305</v>
      </c>
      <c r="B28" t="str">
        <f>_xlfn.XLOOKUP(A28,Attributes!O:O,Attributes!O:O,"Missing")</f>
        <v>overall_timeline_start</v>
      </c>
    </row>
    <row r="29" spans="1:2">
      <c r="A29" s="15" t="s">
        <v>307</v>
      </c>
      <c r="B29" t="str">
        <f>_xlfn.XLOOKUP(A29,Attributes!O:O,Attributes!O:O,"Missing")</f>
        <v>overall_timeline_end</v>
      </c>
    </row>
    <row r="30" spans="1:2">
      <c r="A30" s="15" t="s">
        <v>308</v>
      </c>
      <c r="B30" t="str">
        <f>_xlfn.XLOOKUP(A30,Attributes!O:O,Attributes!O:O,"Missing")</f>
        <v>outcome_linear_roi_flag</v>
      </c>
    </row>
    <row r="31" spans="1:2">
      <c r="A31" s="15" t="s">
        <v>310</v>
      </c>
      <c r="B31" t="str">
        <f>_xlfn.XLOOKUP(A31,Attributes!O:O,Attributes!O:O,"Missing")</f>
        <v>monday_record_creation_dtm</v>
      </c>
    </row>
    <row r="32" spans="1:2" ht="28.9">
      <c r="A32" s="15" t="s">
        <v>894</v>
      </c>
      <c r="B32" t="str">
        <f>_xlfn.XLOOKUP(A32,Attributes!O:O,Attributes!O:O,"Missing")</f>
        <v>Missing</v>
      </c>
    </row>
    <row r="33" spans="1:2">
      <c r="A33" s="15" t="s">
        <v>895</v>
      </c>
      <c r="B33" t="str">
        <f>_xlfn.XLOOKUP(A33,Attributes!O:O,Attributes!O:O,"Missing")</f>
        <v>Missing</v>
      </c>
    </row>
    <row r="34" spans="1:2">
      <c r="A34" s="15" t="s">
        <v>896</v>
      </c>
      <c r="B34" t="str">
        <f>_xlfn.XLOOKUP(A34,Attributes!O:O,Attributes!O:O,"Missing")</f>
        <v>Missing</v>
      </c>
    </row>
    <row r="35" spans="1:2">
      <c r="A35" s="15" t="s">
        <v>897</v>
      </c>
      <c r="B35" t="str">
        <f>_xlfn.XLOOKUP(A35,Attributes!O:O,Attributes!O:O,"Missing")</f>
        <v>Missing</v>
      </c>
    </row>
    <row r="36" spans="1:2">
      <c r="A36" s="59"/>
    </row>
    <row r="37" spans="1:2">
      <c r="A37" s="59"/>
    </row>
    <row r="38" spans="1:2">
      <c r="A38" s="59"/>
    </row>
    <row r="39" spans="1:2">
      <c r="A39" s="59"/>
    </row>
    <row r="40" spans="1:2">
      <c r="A40" s="6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A969B-2E99-43A3-91BB-BD5F9824B477}">
  <dimension ref="A1:T9"/>
  <sheetViews>
    <sheetView workbookViewId="0">
      <selection activeCell="P1" sqref="P1"/>
    </sheetView>
  </sheetViews>
  <sheetFormatPr defaultRowHeight="14.45"/>
  <cols>
    <col min="1" max="1" width="13.28515625" customWidth="1"/>
    <col min="2" max="2" width="13.42578125" customWidth="1"/>
    <col min="3" max="3" width="22" bestFit="1" customWidth="1"/>
    <col min="4" max="4" width="17" customWidth="1"/>
    <col min="5" max="5" width="13.42578125" customWidth="1"/>
    <col min="8" max="8" width="19.28515625" bestFit="1" customWidth="1"/>
    <col min="9" max="9" width="14.7109375" bestFit="1" customWidth="1"/>
    <col min="13" max="13" width="14.5703125" bestFit="1" customWidth="1"/>
    <col min="14" max="14" width="9" customWidth="1"/>
  </cols>
  <sheetData>
    <row r="1" spans="1:20">
      <c r="A1" s="2" t="s">
        <v>898</v>
      </c>
      <c r="B1" s="2" t="s">
        <v>899</v>
      </c>
      <c r="C1" s="2" t="s">
        <v>900</v>
      </c>
      <c r="D1" s="2" t="s">
        <v>901</v>
      </c>
      <c r="E1" s="26" t="s">
        <v>902</v>
      </c>
      <c r="F1" s="26" t="s">
        <v>903</v>
      </c>
      <c r="G1" t="s">
        <v>38</v>
      </c>
      <c r="H1" s="2" t="s">
        <v>904</v>
      </c>
      <c r="I1" s="2" t="s">
        <v>905</v>
      </c>
      <c r="K1" t="s">
        <v>906</v>
      </c>
      <c r="M1" t="s">
        <v>907</v>
      </c>
      <c r="N1" t="s">
        <v>908</v>
      </c>
      <c r="P1" s="3" t="s">
        <v>909</v>
      </c>
      <c r="Q1" s="3" t="s">
        <v>910</v>
      </c>
      <c r="R1" s="3" t="s">
        <v>911</v>
      </c>
      <c r="S1" s="3" t="s">
        <v>912</v>
      </c>
      <c r="T1" s="3" t="s">
        <v>913</v>
      </c>
    </row>
    <row r="2" spans="1:20">
      <c r="A2" s="2">
        <v>1</v>
      </c>
      <c r="B2" s="2">
        <v>1</v>
      </c>
      <c r="C2" s="2" t="s">
        <v>914</v>
      </c>
      <c r="D2" s="2" t="s">
        <v>915</v>
      </c>
      <c r="E2" s="26">
        <v>1</v>
      </c>
      <c r="F2" s="26">
        <v>1</v>
      </c>
      <c r="G2">
        <v>1</v>
      </c>
      <c r="H2" s="2" t="s">
        <v>916</v>
      </c>
      <c r="I2" s="2">
        <v>10</v>
      </c>
      <c r="K2" s="27">
        <v>0.1</v>
      </c>
      <c r="M2" s="28">
        <v>1000</v>
      </c>
      <c r="N2" s="28">
        <f>M2*K2</f>
        <v>100</v>
      </c>
    </row>
    <row r="3" spans="1:20">
      <c r="A3" s="2">
        <v>1</v>
      </c>
      <c r="B3" s="2">
        <v>2</v>
      </c>
      <c r="C3" s="2" t="s">
        <v>917</v>
      </c>
      <c r="D3" s="2" t="s">
        <v>918</v>
      </c>
      <c r="E3" s="26">
        <v>1</v>
      </c>
      <c r="F3" s="26">
        <v>5</v>
      </c>
      <c r="G3">
        <v>2</v>
      </c>
      <c r="H3" s="2" t="s">
        <v>919</v>
      </c>
      <c r="I3" s="2">
        <v>200</v>
      </c>
      <c r="K3" s="27">
        <v>0.02</v>
      </c>
      <c r="M3" s="28">
        <v>250</v>
      </c>
      <c r="N3" s="28">
        <f t="shared" ref="N3:N9" si="0">M3*K3</f>
        <v>5</v>
      </c>
    </row>
    <row r="4" spans="1:20">
      <c r="A4" s="2">
        <v>1</v>
      </c>
      <c r="B4" s="2">
        <v>2</v>
      </c>
      <c r="C4" s="2" t="s">
        <v>917</v>
      </c>
      <c r="D4" s="2" t="s">
        <v>920</v>
      </c>
      <c r="E4" s="26">
        <v>2</v>
      </c>
      <c r="F4" s="26"/>
      <c r="G4">
        <v>3</v>
      </c>
      <c r="H4" s="2" t="s">
        <v>921</v>
      </c>
      <c r="I4" s="2">
        <v>15</v>
      </c>
      <c r="K4" s="27">
        <v>0.6</v>
      </c>
      <c r="M4" s="28">
        <v>250</v>
      </c>
      <c r="N4" s="28">
        <f t="shared" si="0"/>
        <v>150</v>
      </c>
    </row>
    <row r="5" spans="1:20">
      <c r="A5" s="2">
        <v>2</v>
      </c>
      <c r="B5" s="2">
        <v>1</v>
      </c>
      <c r="C5" s="2" t="s">
        <v>914</v>
      </c>
      <c r="D5" s="2" t="s">
        <v>922</v>
      </c>
      <c r="E5" s="26">
        <v>3</v>
      </c>
      <c r="F5" s="26"/>
      <c r="G5">
        <v>4</v>
      </c>
      <c r="H5" s="2" t="s">
        <v>923</v>
      </c>
      <c r="I5" s="2">
        <v>1</v>
      </c>
      <c r="K5" s="27">
        <v>0.52</v>
      </c>
      <c r="M5" s="28">
        <v>1000</v>
      </c>
      <c r="N5" s="28">
        <f t="shared" si="0"/>
        <v>520</v>
      </c>
    </row>
    <row r="6" spans="1:20">
      <c r="A6" s="2">
        <v>3</v>
      </c>
      <c r="B6" s="2">
        <v>3</v>
      </c>
      <c r="C6" s="2" t="s">
        <v>28</v>
      </c>
      <c r="D6" s="2" t="s">
        <v>924</v>
      </c>
      <c r="E6" s="26">
        <v>4</v>
      </c>
      <c r="F6" s="26">
        <v>6</v>
      </c>
      <c r="G6">
        <v>5</v>
      </c>
      <c r="H6" s="2" t="s">
        <v>919</v>
      </c>
      <c r="I6" s="2">
        <v>0</v>
      </c>
      <c r="K6" s="27">
        <v>0.1</v>
      </c>
      <c r="M6" s="28">
        <v>555</v>
      </c>
      <c r="N6" s="28">
        <f t="shared" si="0"/>
        <v>55.5</v>
      </c>
    </row>
    <row r="7" spans="1:20">
      <c r="A7" s="2">
        <v>4</v>
      </c>
      <c r="B7" s="2">
        <v>4</v>
      </c>
      <c r="C7" s="2" t="s">
        <v>28</v>
      </c>
      <c r="D7" s="2" t="s">
        <v>925</v>
      </c>
      <c r="E7" s="26"/>
      <c r="F7" s="26">
        <v>5</v>
      </c>
      <c r="G7">
        <v>6</v>
      </c>
      <c r="H7" s="2" t="s">
        <v>921</v>
      </c>
      <c r="I7" s="2">
        <v>256</v>
      </c>
      <c r="K7" s="27">
        <v>1E-3</v>
      </c>
      <c r="M7" s="28">
        <v>789</v>
      </c>
      <c r="N7" s="28">
        <f t="shared" si="0"/>
        <v>0.78900000000000003</v>
      </c>
    </row>
    <row r="8" spans="1:20">
      <c r="A8" s="2">
        <v>5</v>
      </c>
      <c r="B8" s="2">
        <v>7</v>
      </c>
      <c r="C8" s="2" t="s">
        <v>28</v>
      </c>
      <c r="D8" s="2" t="s">
        <v>926</v>
      </c>
      <c r="E8" s="26">
        <v>6</v>
      </c>
      <c r="F8" s="26"/>
      <c r="G8">
        <v>7</v>
      </c>
      <c r="H8" s="2" t="s">
        <v>923</v>
      </c>
      <c r="I8" s="2">
        <v>24</v>
      </c>
      <c r="K8" s="27">
        <v>1E-3</v>
      </c>
      <c r="M8" s="28">
        <v>5</v>
      </c>
      <c r="N8" s="28">
        <f t="shared" si="0"/>
        <v>5.0000000000000001E-3</v>
      </c>
    </row>
    <row r="9" spans="1:20">
      <c r="A9" s="2">
        <v>8</v>
      </c>
      <c r="B9" s="2">
        <v>8</v>
      </c>
      <c r="C9" s="2" t="s">
        <v>28</v>
      </c>
      <c r="D9" s="2" t="s">
        <v>927</v>
      </c>
      <c r="E9" s="26"/>
      <c r="F9" s="26">
        <v>8</v>
      </c>
      <c r="G9">
        <v>8</v>
      </c>
      <c r="H9" s="2" t="s">
        <v>916</v>
      </c>
      <c r="I9" s="2">
        <v>51</v>
      </c>
      <c r="K9" s="27">
        <v>1E-3</v>
      </c>
      <c r="M9" s="28">
        <v>1000000</v>
      </c>
      <c r="N9" s="28">
        <f t="shared" si="0"/>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97553-56B0-49BE-A800-C76B6D9D32F5}">
  <dimension ref="A1"/>
  <sheetViews>
    <sheetView topLeftCell="A4" zoomScale="70" zoomScaleNormal="70" workbookViewId="0">
      <selection activeCell="W19" sqref="W19"/>
    </sheetView>
  </sheetViews>
  <sheetFormatPr defaultRowHeight="14.4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C8CA7-C3B2-4113-BDC9-28FC11714663}">
  <dimension ref="A1:F62"/>
  <sheetViews>
    <sheetView topLeftCell="B21" zoomScale="85" zoomScaleNormal="85" workbookViewId="0">
      <selection activeCell="C23" sqref="C23"/>
    </sheetView>
  </sheetViews>
  <sheetFormatPr defaultRowHeight="14.45"/>
  <cols>
    <col min="1" max="1" width="47.140625" bestFit="1" customWidth="1"/>
    <col min="2" max="2" width="41.7109375" style="15" customWidth="1"/>
    <col min="3" max="3" width="86" style="15" customWidth="1"/>
    <col min="4" max="4" width="12.7109375" style="15" customWidth="1"/>
    <col min="5" max="5" width="174" style="15" hidden="1" customWidth="1"/>
    <col min="6" max="6" width="0" hidden="1" customWidth="1"/>
  </cols>
  <sheetData>
    <row r="1" spans="1:4">
      <c r="A1" t="s">
        <v>0</v>
      </c>
      <c r="B1" s="15" t="s">
        <v>928</v>
      </c>
      <c r="C1" s="15" t="s">
        <v>2</v>
      </c>
      <c r="D1" s="15" t="s">
        <v>929</v>
      </c>
    </row>
    <row r="2" spans="1:4">
      <c r="A2" s="9" t="s">
        <v>930</v>
      </c>
      <c r="B2" s="16"/>
      <c r="C2" s="16" t="s">
        <v>931</v>
      </c>
      <c r="D2" s="16"/>
    </row>
    <row r="3" spans="1:4">
      <c r="A3" s="10" t="s">
        <v>932</v>
      </c>
      <c r="B3" s="16"/>
      <c r="C3" s="16" t="s">
        <v>933</v>
      </c>
      <c r="D3" s="16"/>
    </row>
    <row r="4" spans="1:4">
      <c r="A4" s="10" t="s">
        <v>934</v>
      </c>
      <c r="B4" s="16"/>
      <c r="C4" s="16" t="s">
        <v>935</v>
      </c>
      <c r="D4" s="16"/>
    </row>
    <row r="5" spans="1:4">
      <c r="A5" s="10" t="s">
        <v>936</v>
      </c>
      <c r="B5" s="16"/>
      <c r="C5" s="16" t="s">
        <v>937</v>
      </c>
      <c r="D5" s="16"/>
    </row>
    <row r="6" spans="1:4">
      <c r="A6" s="10" t="s">
        <v>938</v>
      </c>
      <c r="B6" s="16"/>
      <c r="C6" s="16" t="s">
        <v>939</v>
      </c>
      <c r="D6" s="16"/>
    </row>
    <row r="7" spans="1:4">
      <c r="A7" s="10" t="s">
        <v>940</v>
      </c>
      <c r="B7" s="16"/>
      <c r="C7" s="16" t="s">
        <v>941</v>
      </c>
      <c r="D7" s="16"/>
    </row>
    <row r="8" spans="1:4">
      <c r="A8" s="9" t="s">
        <v>942</v>
      </c>
      <c r="B8" s="16"/>
      <c r="C8" s="16"/>
      <c r="D8" s="16"/>
    </row>
    <row r="9" spans="1:4">
      <c r="A9" s="10" t="s">
        <v>943</v>
      </c>
      <c r="B9" s="16"/>
      <c r="C9" s="16" t="s">
        <v>944</v>
      </c>
      <c r="D9" s="16"/>
    </row>
    <row r="10" spans="1:4">
      <c r="A10" s="10" t="s">
        <v>945</v>
      </c>
      <c r="B10" s="16"/>
      <c r="C10" s="16" t="s">
        <v>946</v>
      </c>
      <c r="D10" s="16"/>
    </row>
    <row r="11" spans="1:4">
      <c r="A11" s="10" t="s">
        <v>947</v>
      </c>
      <c r="B11" s="16"/>
      <c r="C11" s="16" t="s">
        <v>948</v>
      </c>
      <c r="D11" s="16"/>
    </row>
    <row r="12" spans="1:4">
      <c r="A12" s="10" t="s">
        <v>949</v>
      </c>
      <c r="B12" s="16"/>
      <c r="C12" s="16" t="s">
        <v>950</v>
      </c>
      <c r="D12" s="16"/>
    </row>
    <row r="13" spans="1:4">
      <c r="A13" s="9" t="s">
        <v>951</v>
      </c>
      <c r="B13" s="16"/>
      <c r="C13" s="16"/>
      <c r="D13" s="16"/>
    </row>
    <row r="14" spans="1:4">
      <c r="A14" s="10" t="s">
        <v>952</v>
      </c>
      <c r="B14" s="16"/>
      <c r="C14" s="16" t="s">
        <v>953</v>
      </c>
      <c r="D14" s="16"/>
    </row>
    <row r="15" spans="1:4">
      <c r="A15" s="10" t="s">
        <v>954</v>
      </c>
      <c r="B15" s="16"/>
      <c r="C15" s="16" t="s">
        <v>955</v>
      </c>
      <c r="D15" s="16"/>
    </row>
    <row r="16" spans="1:4">
      <c r="A16" s="10" t="s">
        <v>956</v>
      </c>
      <c r="B16" s="16"/>
      <c r="C16" s="16" t="s">
        <v>957</v>
      </c>
      <c r="D16" s="16"/>
    </row>
    <row r="17" spans="1:6">
      <c r="A17" s="10" t="s">
        <v>958</v>
      </c>
      <c r="B17" s="16"/>
      <c r="C17" s="16" t="s">
        <v>959</v>
      </c>
      <c r="D17" s="16"/>
    </row>
    <row r="18" spans="1:6">
      <c r="E18" s="12" t="s">
        <v>960</v>
      </c>
      <c r="F18" s="6" t="s">
        <v>961</v>
      </c>
    </row>
    <row r="19" spans="1:6" ht="43.15">
      <c r="A19" s="11" t="s">
        <v>962</v>
      </c>
      <c r="B19" s="15" t="s">
        <v>963</v>
      </c>
      <c r="C19" s="15" t="s">
        <v>964</v>
      </c>
      <c r="E19" s="13" t="s">
        <v>965</v>
      </c>
      <c r="F19" s="7" t="s">
        <v>966</v>
      </c>
    </row>
    <row r="20" spans="1:6" ht="28.9">
      <c r="A20" s="11" t="s">
        <v>967</v>
      </c>
      <c r="B20" s="15" t="s">
        <v>968</v>
      </c>
      <c r="C20" s="15" t="s">
        <v>969</v>
      </c>
      <c r="E20" s="13" t="s">
        <v>970</v>
      </c>
      <c r="F20" s="7" t="s">
        <v>971</v>
      </c>
    </row>
    <row r="21" spans="1:6" ht="57.6">
      <c r="A21" s="11" t="s">
        <v>930</v>
      </c>
      <c r="B21" s="15" t="s">
        <v>972</v>
      </c>
      <c r="C21" s="15" t="s">
        <v>973</v>
      </c>
      <c r="D21" s="15" t="s">
        <v>974</v>
      </c>
      <c r="E21" s="13" t="s">
        <v>975</v>
      </c>
      <c r="F21" s="7" t="s">
        <v>976</v>
      </c>
    </row>
    <row r="22" spans="1:6" ht="28.9">
      <c r="A22" s="11" t="s">
        <v>977</v>
      </c>
      <c r="B22" s="15" t="s">
        <v>978</v>
      </c>
      <c r="C22" s="15" t="s">
        <v>979</v>
      </c>
      <c r="E22" s="13" t="s">
        <v>980</v>
      </c>
      <c r="F22" s="7" t="s">
        <v>981</v>
      </c>
    </row>
    <row r="23" spans="1:6" ht="129.6">
      <c r="A23" s="11" t="s">
        <v>982</v>
      </c>
      <c r="B23" s="15" t="s">
        <v>978</v>
      </c>
      <c r="C23" s="15" t="s">
        <v>983</v>
      </c>
      <c r="E23" s="13" t="s">
        <v>984</v>
      </c>
      <c r="F23" s="7" t="s">
        <v>985</v>
      </c>
    </row>
    <row r="24" spans="1:6" ht="230.45">
      <c r="A24" s="11" t="s">
        <v>986</v>
      </c>
      <c r="B24" s="15" t="s">
        <v>978</v>
      </c>
      <c r="C24" s="45" t="s">
        <v>987</v>
      </c>
      <c r="E24" s="13" t="s">
        <v>988</v>
      </c>
      <c r="F24" s="7" t="s">
        <v>989</v>
      </c>
    </row>
    <row r="25" spans="1:6" ht="57.6">
      <c r="A25" s="11" t="s">
        <v>990</v>
      </c>
      <c r="B25" s="15" t="s">
        <v>991</v>
      </c>
      <c r="C25" s="15" t="s">
        <v>992</v>
      </c>
      <c r="E25" s="13" t="s">
        <v>993</v>
      </c>
      <c r="F25" s="7" t="s">
        <v>994</v>
      </c>
    </row>
    <row r="26" spans="1:6" ht="115.15">
      <c r="A26" s="11" t="s">
        <v>995</v>
      </c>
      <c r="B26" s="15" t="s">
        <v>991</v>
      </c>
      <c r="C26" s="15" t="s">
        <v>996</v>
      </c>
      <c r="E26" s="13" t="s">
        <v>997</v>
      </c>
      <c r="F26" s="7" t="s">
        <v>998</v>
      </c>
    </row>
    <row r="27" spans="1:6" ht="57.6">
      <c r="A27" s="11" t="s">
        <v>999</v>
      </c>
      <c r="B27" s="15" t="s">
        <v>991</v>
      </c>
      <c r="E27" s="13" t="s">
        <v>1000</v>
      </c>
      <c r="F27" s="7" t="s">
        <v>1001</v>
      </c>
    </row>
    <row r="28" spans="1:6" ht="57.6">
      <c r="A28" s="11" t="s">
        <v>1002</v>
      </c>
      <c r="B28" s="15" t="s">
        <v>991</v>
      </c>
      <c r="E28" s="13" t="s">
        <v>1003</v>
      </c>
      <c r="F28" s="14" t="s">
        <v>1004</v>
      </c>
    </row>
    <row r="29" spans="1:6" ht="57.6">
      <c r="A29" s="11" t="s">
        <v>1005</v>
      </c>
      <c r="B29" s="15" t="s">
        <v>991</v>
      </c>
      <c r="E29" s="13" t="s">
        <v>1006</v>
      </c>
      <c r="F29" s="7" t="s">
        <v>1007</v>
      </c>
    </row>
    <row r="30" spans="1:6" ht="57.6">
      <c r="A30" s="11" t="s">
        <v>1008</v>
      </c>
      <c r="B30" s="15" t="s">
        <v>991</v>
      </c>
      <c r="E30" s="13" t="s">
        <v>1009</v>
      </c>
      <c r="F30" s="7" t="s">
        <v>1010</v>
      </c>
    </row>
    <row r="31" spans="1:6" ht="57.6">
      <c r="A31" s="11" t="s">
        <v>1011</v>
      </c>
      <c r="B31" s="15" t="s">
        <v>991</v>
      </c>
      <c r="C31" s="17" t="s">
        <v>1012</v>
      </c>
      <c r="E31" s="13" t="s">
        <v>1013</v>
      </c>
      <c r="F31" s="7" t="s">
        <v>1014</v>
      </c>
    </row>
    <row r="32" spans="1:6" ht="43.15">
      <c r="A32" s="11" t="s">
        <v>1015</v>
      </c>
      <c r="B32" s="18" t="s">
        <v>1016</v>
      </c>
      <c r="C32" s="17"/>
      <c r="E32" s="13" t="s">
        <v>1017</v>
      </c>
      <c r="F32" s="7" t="s">
        <v>1018</v>
      </c>
    </row>
    <row r="33" spans="1:6">
      <c r="A33" s="11" t="s">
        <v>1019</v>
      </c>
      <c r="B33" s="15" t="s">
        <v>1020</v>
      </c>
      <c r="E33" s="13" t="s">
        <v>1021</v>
      </c>
      <c r="F33" s="7" t="s">
        <v>1022</v>
      </c>
    </row>
    <row r="34" spans="1:6" ht="28.9">
      <c r="A34" s="11" t="s">
        <v>1023</v>
      </c>
      <c r="B34" s="18" t="s">
        <v>1024</v>
      </c>
      <c r="E34" s="13" t="s">
        <v>1025</v>
      </c>
      <c r="F34" s="7" t="s">
        <v>1026</v>
      </c>
    </row>
    <row r="35" spans="1:6">
      <c r="A35" s="11" t="s">
        <v>1027</v>
      </c>
      <c r="B35" s="19" t="s">
        <v>1028</v>
      </c>
      <c r="E35" s="13" t="s">
        <v>1029</v>
      </c>
      <c r="F35" s="7" t="s">
        <v>1030</v>
      </c>
    </row>
    <row r="36" spans="1:6">
      <c r="A36" s="11" t="s">
        <v>1031</v>
      </c>
      <c r="B36" s="15" t="s">
        <v>1032</v>
      </c>
      <c r="C36" s="15" t="s">
        <v>1033</v>
      </c>
      <c r="E36" s="13" t="s">
        <v>1034</v>
      </c>
      <c r="F36" s="7" t="s">
        <v>1035</v>
      </c>
    </row>
    <row r="37" spans="1:6">
      <c r="A37" s="11" t="s">
        <v>900</v>
      </c>
      <c r="B37" s="15" t="s">
        <v>1032</v>
      </c>
      <c r="C37" s="15" t="s">
        <v>1036</v>
      </c>
      <c r="E37" s="13" t="s">
        <v>1037</v>
      </c>
      <c r="F37" s="7" t="s">
        <v>1038</v>
      </c>
    </row>
    <row r="38" spans="1:6">
      <c r="A38" s="11" t="s">
        <v>1039</v>
      </c>
      <c r="B38" s="15" t="s">
        <v>1032</v>
      </c>
      <c r="C38" s="15" t="s">
        <v>1040</v>
      </c>
      <c r="E38" s="13" t="s">
        <v>1041</v>
      </c>
      <c r="F38" s="7" t="s">
        <v>1042</v>
      </c>
    </row>
    <row r="39" spans="1:6">
      <c r="A39" s="11" t="s">
        <v>1043</v>
      </c>
      <c r="B39" s="15" t="s">
        <v>1032</v>
      </c>
      <c r="E39" s="13" t="s">
        <v>1044</v>
      </c>
      <c r="F39" s="7" t="s">
        <v>1045</v>
      </c>
    </row>
    <row r="40" spans="1:6" ht="28.9">
      <c r="A40" s="11" t="s">
        <v>1046</v>
      </c>
      <c r="B40" s="18" t="s">
        <v>1047</v>
      </c>
      <c r="E40" s="13" t="s">
        <v>1048</v>
      </c>
      <c r="F40" s="7" t="s">
        <v>1049</v>
      </c>
    </row>
    <row r="41" spans="1:6" ht="57.6">
      <c r="A41" s="11" t="s">
        <v>1050</v>
      </c>
      <c r="B41" s="18" t="s">
        <v>1051</v>
      </c>
      <c r="E41" s="13" t="s">
        <v>1052</v>
      </c>
      <c r="F41" s="7" t="s">
        <v>1053</v>
      </c>
    </row>
    <row r="42" spans="1:6" ht="43.15">
      <c r="A42" s="11" t="s">
        <v>1054</v>
      </c>
      <c r="B42" s="18" t="s">
        <v>1055</v>
      </c>
      <c r="C42" s="15" t="s">
        <v>1056</v>
      </c>
      <c r="E42" s="13" t="s">
        <v>1057</v>
      </c>
      <c r="F42" s="7" t="s">
        <v>1058</v>
      </c>
    </row>
    <row r="43" spans="1:6" ht="43.15">
      <c r="A43" s="11" t="s">
        <v>1059</v>
      </c>
      <c r="B43" s="21" t="s">
        <v>1060</v>
      </c>
      <c r="C43" s="15" t="s">
        <v>1061</v>
      </c>
      <c r="E43" s="13" t="s">
        <v>1062</v>
      </c>
      <c r="F43" s="7" t="s">
        <v>1063</v>
      </c>
    </row>
    <row r="44" spans="1:6" ht="28.9">
      <c r="A44" s="11" t="s">
        <v>1064</v>
      </c>
      <c r="B44" s="21" t="s">
        <v>1065</v>
      </c>
      <c r="C44" s="15" t="s">
        <v>1066</v>
      </c>
      <c r="E44" s="13" t="s">
        <v>1067</v>
      </c>
      <c r="F44" s="7" t="s">
        <v>1068</v>
      </c>
    </row>
    <row r="45" spans="1:6" ht="100.9">
      <c r="A45" s="11" t="s">
        <v>1069</v>
      </c>
      <c r="B45" s="19" t="s">
        <v>1070</v>
      </c>
      <c r="C45" s="15" t="s">
        <v>1071</v>
      </c>
      <c r="E45" s="13" t="s">
        <v>1072</v>
      </c>
      <c r="F45" s="7" t="s">
        <v>1073</v>
      </c>
    </row>
    <row r="46" spans="1:6" ht="28.9">
      <c r="A46" s="11" t="s">
        <v>1074</v>
      </c>
      <c r="B46" s="19" t="s">
        <v>1070</v>
      </c>
      <c r="E46" s="13" t="s">
        <v>1075</v>
      </c>
      <c r="F46" s="7" t="s">
        <v>1076</v>
      </c>
    </row>
    <row r="47" spans="1:6">
      <c r="A47" s="11" t="s">
        <v>1077</v>
      </c>
      <c r="B47" s="21" t="s">
        <v>1078</v>
      </c>
      <c r="E47" s="13" t="s">
        <v>1079</v>
      </c>
      <c r="F47" s="14" t="s">
        <v>1080</v>
      </c>
    </row>
    <row r="48" spans="1:6">
      <c r="A48" s="11" t="s">
        <v>1081</v>
      </c>
      <c r="B48" s="21" t="s">
        <v>1078</v>
      </c>
      <c r="E48" s="13" t="s">
        <v>1082</v>
      </c>
      <c r="F48" s="14" t="s">
        <v>1083</v>
      </c>
    </row>
    <row r="49" spans="1:6">
      <c r="A49" s="11" t="s">
        <v>1084</v>
      </c>
      <c r="B49" s="19" t="s">
        <v>1085</v>
      </c>
      <c r="E49" s="13" t="s">
        <v>1086</v>
      </c>
      <c r="F49" s="7" t="s">
        <v>1087</v>
      </c>
    </row>
    <row r="50" spans="1:6">
      <c r="A50" s="11" t="s">
        <v>1088</v>
      </c>
      <c r="B50" s="19" t="s">
        <v>1085</v>
      </c>
      <c r="E50" s="13" t="s">
        <v>1089</v>
      </c>
      <c r="F50" s="7" t="s">
        <v>1090</v>
      </c>
    </row>
    <row r="51" spans="1:6" ht="43.15">
      <c r="A51" s="11" t="s">
        <v>1091</v>
      </c>
      <c r="B51" s="21" t="s">
        <v>1092</v>
      </c>
      <c r="E51" s="13" t="s">
        <v>1093</v>
      </c>
      <c r="F51" s="7" t="s">
        <v>1094</v>
      </c>
    </row>
    <row r="52" spans="1:6" ht="43.15">
      <c r="A52" s="11" t="s">
        <v>1095</v>
      </c>
      <c r="B52" s="21" t="s">
        <v>1092</v>
      </c>
      <c r="E52" s="13" t="s">
        <v>1096</v>
      </c>
      <c r="F52" s="7" t="s">
        <v>1097</v>
      </c>
    </row>
    <row r="53" spans="1:6">
      <c r="A53" s="11" t="s">
        <v>1098</v>
      </c>
      <c r="B53" s="20" t="s">
        <v>1099</v>
      </c>
      <c r="E53" s="13" t="s">
        <v>1100</v>
      </c>
      <c r="F53" s="7" t="s">
        <v>1101</v>
      </c>
    </row>
    <row r="54" spans="1:6" ht="129.6">
      <c r="A54" s="11" t="s">
        <v>1102</v>
      </c>
      <c r="B54" s="21" t="s">
        <v>1103</v>
      </c>
      <c r="C54" s="15" t="s">
        <v>1104</v>
      </c>
      <c r="E54" s="13" t="s">
        <v>1105</v>
      </c>
      <c r="F54" s="7" t="s">
        <v>1106</v>
      </c>
    </row>
    <row r="55" spans="1:6" ht="28.9">
      <c r="A55" s="11" t="s">
        <v>1107</v>
      </c>
      <c r="B55" s="21" t="s">
        <v>1103</v>
      </c>
      <c r="C55" s="15" t="s">
        <v>1108</v>
      </c>
      <c r="E55" s="13" t="s">
        <v>1109</v>
      </c>
      <c r="F55" s="7" t="s">
        <v>1110</v>
      </c>
    </row>
    <row r="56" spans="1:6">
      <c r="A56" s="11" t="s">
        <v>1111</v>
      </c>
      <c r="B56" s="21" t="s">
        <v>1103</v>
      </c>
      <c r="E56" s="13" t="s">
        <v>1112</v>
      </c>
      <c r="F56" s="7" t="s">
        <v>1113</v>
      </c>
    </row>
    <row r="57" spans="1:6" ht="43.15">
      <c r="A57" s="11" t="s">
        <v>1114</v>
      </c>
      <c r="B57" s="21" t="s">
        <v>1092</v>
      </c>
      <c r="E57" s="13" t="s">
        <v>1115</v>
      </c>
      <c r="F57" s="7" t="s">
        <v>1116</v>
      </c>
    </row>
    <row r="58" spans="1:6" ht="43.15">
      <c r="A58" s="11" t="s">
        <v>1117</v>
      </c>
      <c r="B58" s="21" t="s">
        <v>1092</v>
      </c>
      <c r="E58" s="13" t="s">
        <v>1118</v>
      </c>
      <c r="F58" s="7" t="s">
        <v>1119</v>
      </c>
    </row>
    <row r="59" spans="1:6" ht="28.9">
      <c r="A59" s="11" t="s">
        <v>1120</v>
      </c>
      <c r="B59" s="19" t="s">
        <v>1070</v>
      </c>
      <c r="E59" s="13" t="s">
        <v>1121</v>
      </c>
      <c r="F59" s="7" t="s">
        <v>1122</v>
      </c>
    </row>
    <row r="60" spans="1:6" ht="43.15">
      <c r="A60" s="11" t="s">
        <v>1123</v>
      </c>
      <c r="B60" s="21" t="s">
        <v>1124</v>
      </c>
      <c r="E60" s="13" t="s">
        <v>1125</v>
      </c>
      <c r="F60" s="7" t="s">
        <v>1126</v>
      </c>
    </row>
    <row r="61" spans="1:6" ht="43.15">
      <c r="A61" s="11" t="s">
        <v>1127</v>
      </c>
      <c r="B61" s="21" t="s">
        <v>1124</v>
      </c>
      <c r="E61" s="13" t="s">
        <v>1128</v>
      </c>
      <c r="F61" s="7" t="s">
        <v>1129</v>
      </c>
    </row>
    <row r="62" spans="1:6" ht="43.15">
      <c r="A62" s="11" t="s">
        <v>1130</v>
      </c>
      <c r="B62" s="21" t="s">
        <v>1124</v>
      </c>
      <c r="E62" s="13" t="s">
        <v>1131</v>
      </c>
      <c r="F62" s="7" t="s">
        <v>1132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D126A-E50F-4373-9159-5B9100CAC9A2}">
  <dimension ref="A1:K24"/>
  <sheetViews>
    <sheetView workbookViewId="0">
      <pane xSplit="2" ySplit="1" topLeftCell="C2" activePane="bottomRight" state="frozen"/>
      <selection pane="bottomRight" activeCell="C1" sqref="C1"/>
      <selection pane="bottomLeft" activeCell="A2" sqref="A2"/>
      <selection pane="topRight" activeCell="C1" sqref="C1"/>
    </sheetView>
  </sheetViews>
  <sheetFormatPr defaultRowHeight="14.45"/>
  <cols>
    <col min="1" max="1" width="12.28515625" bestFit="1" customWidth="1"/>
    <col min="2" max="2" width="32.28515625" customWidth="1"/>
    <col min="4" max="4" width="23.85546875" bestFit="1" customWidth="1"/>
    <col min="5" max="5" width="11.5703125" bestFit="1" customWidth="1"/>
    <col min="6" max="6" width="31" bestFit="1" customWidth="1"/>
    <col min="7" max="7" width="23.42578125" bestFit="1" customWidth="1"/>
    <col min="8" max="8" width="85.42578125" customWidth="1"/>
    <col min="10" max="10" width="21.7109375" bestFit="1" customWidth="1"/>
    <col min="11" max="11" width="43.140625" bestFit="1" customWidth="1"/>
  </cols>
  <sheetData>
    <row r="1" spans="1:11" ht="15">
      <c r="A1" t="s">
        <v>426</v>
      </c>
      <c r="B1" t="s">
        <v>329</v>
      </c>
      <c r="C1" t="s">
        <v>333</v>
      </c>
      <c r="D1" t="s">
        <v>1133</v>
      </c>
      <c r="E1" t="s">
        <v>224</v>
      </c>
      <c r="F1" t="s">
        <v>1134</v>
      </c>
      <c r="G1" t="s">
        <v>342</v>
      </c>
      <c r="H1" t="s">
        <v>1135</v>
      </c>
      <c r="I1" t="s">
        <v>1136</v>
      </c>
      <c r="J1" t="s">
        <v>1137</v>
      </c>
      <c r="K1" t="s">
        <v>1138</v>
      </c>
    </row>
    <row r="2" spans="1:11">
      <c r="B2" t="s">
        <v>1139</v>
      </c>
      <c r="C2" t="s">
        <v>1140</v>
      </c>
      <c r="D2" t="s">
        <v>1141</v>
      </c>
      <c r="E2" t="s">
        <v>524</v>
      </c>
      <c r="G2" t="s">
        <v>1142</v>
      </c>
      <c r="H2" t="str">
        <f>_xlfn.XLOOKUP(B2,Table2[Channel Name],Table2[Interactions Concatenated],"",0,1)</f>
        <v>Viewed;Clicked;Submit Form</v>
      </c>
      <c r="J2" t="s">
        <v>1143</v>
      </c>
      <c r="K2" s="46" t="s">
        <v>1144</v>
      </c>
    </row>
    <row r="3" spans="1:11">
      <c r="B3" t="s">
        <v>1145</v>
      </c>
      <c r="C3" t="s">
        <v>1140</v>
      </c>
      <c r="D3" t="s">
        <v>1146</v>
      </c>
      <c r="E3" t="s">
        <v>524</v>
      </c>
      <c r="G3" t="s">
        <v>1142</v>
      </c>
      <c r="H3" t="str">
        <f>_xlfn.XLOOKUP(B3,Table2[Channel Name],Table2[Interactions Concatenated],"",0,1)</f>
        <v>Viewed;Clicked;Submit Form</v>
      </c>
    </row>
    <row r="4" spans="1:11">
      <c r="B4" t="s">
        <v>1147</v>
      </c>
      <c r="C4" t="s">
        <v>1140</v>
      </c>
      <c r="D4" t="s">
        <v>1148</v>
      </c>
      <c r="E4" t="s">
        <v>524</v>
      </c>
      <c r="G4" t="s">
        <v>1142</v>
      </c>
      <c r="H4" t="str">
        <f>_xlfn.XLOOKUP(B4,Table2[Channel Name],Table2[Interactions Concatenated],"",0,1)</f>
        <v>Page View;Link Click;Submit Form;Watch Video;Download;Live Chat?</v>
      </c>
      <c r="J4" t="s">
        <v>1149</v>
      </c>
      <c r="K4" s="47" t="s">
        <v>1150</v>
      </c>
    </row>
    <row r="5" spans="1:11">
      <c r="B5" t="s">
        <v>1151</v>
      </c>
      <c r="C5" t="s">
        <v>1140</v>
      </c>
      <c r="D5" t="s">
        <v>1146</v>
      </c>
      <c r="E5" t="s">
        <v>1152</v>
      </c>
      <c r="F5" t="s">
        <v>1153</v>
      </c>
      <c r="G5" t="s">
        <v>1142</v>
      </c>
      <c r="H5" t="str">
        <f>_xlfn.XLOOKUP(B5,Table2[Channel Name],Table2[Interactions Concatenated],"",0,1)</f>
        <v>Viewed</v>
      </c>
    </row>
    <row r="6" spans="1:11">
      <c r="B6" t="s">
        <v>1154</v>
      </c>
      <c r="C6" t="s">
        <v>1140</v>
      </c>
      <c r="D6" t="s">
        <v>1146</v>
      </c>
      <c r="E6" t="s">
        <v>524</v>
      </c>
      <c r="G6" t="s">
        <v>1142</v>
      </c>
      <c r="H6" t="str">
        <f>_xlfn.XLOOKUP(B6,Table2[Channel Name],Table2[Interactions Concatenated],"",0,1)</f>
        <v>Viewed;Clicked;Responded</v>
      </c>
    </row>
    <row r="7" spans="1:11">
      <c r="B7" t="s">
        <v>1155</v>
      </c>
      <c r="C7" t="s">
        <v>1156</v>
      </c>
      <c r="D7" t="s">
        <v>1157</v>
      </c>
      <c r="E7" t="s">
        <v>524</v>
      </c>
      <c r="G7" t="s">
        <v>1158</v>
      </c>
      <c r="H7" t="str">
        <f>_xlfn.XLOOKUP(B7,Table2[Channel Name],Table2[Interactions Concatenated],"",0,1)</f>
        <v>Viewed;Clicked;Responded;Opt-Out</v>
      </c>
    </row>
    <row r="8" spans="1:11">
      <c r="B8" t="s">
        <v>1159</v>
      </c>
      <c r="C8" t="s">
        <v>1156</v>
      </c>
      <c r="D8" t="s">
        <v>1160</v>
      </c>
      <c r="E8" t="s">
        <v>1161</v>
      </c>
      <c r="G8" t="s">
        <v>1158</v>
      </c>
      <c r="H8" t="str">
        <f>_xlfn.XLOOKUP(B8,Table2[Channel Name],Table2[Interactions Concatenated],"",0,1)</f>
        <v>Registered;Attended;View on Demand</v>
      </c>
    </row>
    <row r="9" spans="1:11">
      <c r="B9" t="s">
        <v>1162</v>
      </c>
      <c r="C9" t="s">
        <v>1156</v>
      </c>
      <c r="D9" t="s">
        <v>1160</v>
      </c>
      <c r="E9" t="s">
        <v>1161</v>
      </c>
      <c r="G9" t="s">
        <v>1158</v>
      </c>
      <c r="H9" t="str">
        <f>_xlfn.XLOOKUP(B9,Table2[Channel Name],Table2[Interactions Concatenated],"",0,1)</f>
        <v>Registered;Attended</v>
      </c>
    </row>
    <row r="10" spans="1:11">
      <c r="B10" t="s">
        <v>1163</v>
      </c>
      <c r="C10" t="s">
        <v>1156</v>
      </c>
      <c r="D10" t="s">
        <v>1160</v>
      </c>
      <c r="E10" t="s">
        <v>1161</v>
      </c>
      <c r="H10" t="str">
        <f>_xlfn.XLOOKUP(B10,Table2[Channel Name],Table2[Interactions Concatenated],"",0,1)</f>
        <v>Registered;Attended;View on Demand</v>
      </c>
    </row>
    <row r="11" spans="1:11">
      <c r="B11" s="3" t="s">
        <v>1164</v>
      </c>
      <c r="C11" t="s">
        <v>1156</v>
      </c>
      <c r="D11" t="s">
        <v>1157</v>
      </c>
      <c r="E11" t="s">
        <v>1152</v>
      </c>
      <c r="H11" t="str">
        <f>_xlfn.XLOOKUP(B11,Table2[Channel Name],Table2[Interactions Concatenated],"",0,1)</f>
        <v>Sent;Received;Bounced</v>
      </c>
      <c r="I11" t="b">
        <v>1</v>
      </c>
    </row>
    <row r="12" spans="1:11">
      <c r="B12" t="s">
        <v>1165</v>
      </c>
      <c r="C12" t="s">
        <v>1156</v>
      </c>
      <c r="D12" t="s">
        <v>1157</v>
      </c>
      <c r="E12" t="s">
        <v>524</v>
      </c>
      <c r="H12" t="str">
        <f>_xlfn.XLOOKUP(B12,Table2[Channel Name],Table2[Interactions Concatenated],"",0,1)</f>
        <v>Sent;Received;Read;Clicked;Responded;Opt-Out</v>
      </c>
    </row>
    <row r="13" spans="1:11">
      <c r="B13" t="s">
        <v>1166</v>
      </c>
      <c r="C13" t="s">
        <v>1156</v>
      </c>
      <c r="D13" t="s">
        <v>1157</v>
      </c>
      <c r="E13" t="s">
        <v>524</v>
      </c>
      <c r="H13" t="str">
        <f>_xlfn.XLOOKUP(B13,Table2[Channel Name],Table2[Interactions Concatenated],"",0,1)</f>
        <v>Sent;Received;Read;Clicked;Responded;Opt-Out;Opened</v>
      </c>
    </row>
    <row r="14" spans="1:11">
      <c r="B14" s="3" t="s">
        <v>1167</v>
      </c>
      <c r="C14" t="s">
        <v>1156</v>
      </c>
      <c r="D14" t="s">
        <v>1157</v>
      </c>
      <c r="E14" t="s">
        <v>524</v>
      </c>
      <c r="H14" t="str">
        <f>_xlfn.XLOOKUP(B14,Table2[Channel Name],Table2[Interactions Concatenated],"",0,1)</f>
        <v>Sent;Received;Bounced;Opened;Clicked;Opt-Out;Responded</v>
      </c>
      <c r="I14" t="b">
        <v>1</v>
      </c>
      <c r="J14" t="s">
        <v>1168</v>
      </c>
      <c r="K14" s="48" t="s">
        <v>1169</v>
      </c>
    </row>
    <row r="15" spans="1:11">
      <c r="B15" s="3" t="s">
        <v>1170</v>
      </c>
      <c r="C15" t="s">
        <v>1156</v>
      </c>
      <c r="D15" t="s">
        <v>1157</v>
      </c>
      <c r="E15" t="s">
        <v>524</v>
      </c>
      <c r="H15" t="str">
        <f>_xlfn.XLOOKUP(B15,Table2[Channel Name],Table2[Interactions Concatenated],"",0,1)</f>
        <v>Sent;Received;Bounced;Clicked;Responsed;Opt-Out</v>
      </c>
      <c r="I15" t="b">
        <v>1</v>
      </c>
      <c r="J15" t="s">
        <v>1171</v>
      </c>
      <c r="K15" s="46" t="s">
        <v>1172</v>
      </c>
    </row>
    <row r="16" spans="1:11">
      <c r="B16" t="s">
        <v>1173</v>
      </c>
      <c r="C16" t="s">
        <v>1156</v>
      </c>
      <c r="D16" t="s">
        <v>1157</v>
      </c>
      <c r="E16" t="s">
        <v>524</v>
      </c>
      <c r="H16" t="str">
        <f>_xlfn.XLOOKUP(B16,Table2[Channel Name],Table2[Interactions Concatenated],"",0,1)</f>
        <v>Sent;Received;Bounced;Clicked;Responsed;Opt-Out</v>
      </c>
    </row>
    <row r="17" spans="2:11">
      <c r="B17" t="s">
        <v>1174</v>
      </c>
      <c r="C17" t="s">
        <v>1156</v>
      </c>
      <c r="D17" t="s">
        <v>1157</v>
      </c>
      <c r="E17" t="s">
        <v>524</v>
      </c>
      <c r="H17" t="str">
        <f>_xlfn.XLOOKUP(B17,Table2[Channel Name],Table2[Interactions Concatenated],"",0,1)</f>
        <v>Sent;Received;Clicked</v>
      </c>
    </row>
    <row r="18" spans="2:11">
      <c r="B18" s="3" t="s">
        <v>1175</v>
      </c>
      <c r="C18" t="s">
        <v>1156</v>
      </c>
      <c r="D18" t="s">
        <v>1157</v>
      </c>
      <c r="E18" t="s">
        <v>1176</v>
      </c>
      <c r="H18" t="str">
        <f>_xlfn.XLOOKUP(B18,Table2[Channel Name],Table2[Interactions Concatenated],"",0,1)</f>
        <v>Attempted;Answered;Conversed</v>
      </c>
      <c r="J18" t="s">
        <v>1177</v>
      </c>
      <c r="K18" s="48" t="s">
        <v>1169</v>
      </c>
    </row>
    <row r="19" spans="2:11">
      <c r="B19" t="s">
        <v>1178</v>
      </c>
      <c r="C19" t="s">
        <v>1156</v>
      </c>
      <c r="D19" t="s">
        <v>1179</v>
      </c>
      <c r="E19" t="s">
        <v>1176</v>
      </c>
      <c r="H19" t="str">
        <f>_xlfn.XLOOKUP(B19,Table2[Channel Name],Table2[Interactions Concatenated],"",0,1)</f>
        <v>Initiated;Answered;Disconnected</v>
      </c>
      <c r="J19" t="s">
        <v>1177</v>
      </c>
      <c r="K19" s="48" t="s">
        <v>1169</v>
      </c>
    </row>
    <row r="20" spans="2:11">
      <c r="B20" s="55" t="s">
        <v>1180</v>
      </c>
      <c r="C20" t="s">
        <v>1181</v>
      </c>
      <c r="D20" t="s">
        <v>1157</v>
      </c>
      <c r="E20" t="s">
        <v>1176</v>
      </c>
      <c r="H20" t="str">
        <f>_xlfn.XLOOKUP(B20,Table2[Channel Name],Table2[Interactions Concatenated],"",0,1)</f>
        <v>Invited;Attended</v>
      </c>
    </row>
    <row r="21" spans="2:11">
      <c r="B21" s="55" t="s">
        <v>1182</v>
      </c>
      <c r="C21" t="s">
        <v>1181</v>
      </c>
      <c r="D21" t="s">
        <v>1157</v>
      </c>
      <c r="E21" t="s">
        <v>1176</v>
      </c>
      <c r="H21" t="str">
        <f>_xlfn.XLOOKUP(B21,Table2[Channel Name],Table2[Interactions Concatenated],"",0,1)</f>
        <v>Dialled;Answered;Engaged</v>
      </c>
    </row>
    <row r="22" spans="2:11">
      <c r="B22" s="62" t="s">
        <v>1183</v>
      </c>
      <c r="C22" t="s">
        <v>1181</v>
      </c>
      <c r="D22" t="s">
        <v>1157</v>
      </c>
      <c r="E22" t="s">
        <v>524</v>
      </c>
      <c r="H22" t="str">
        <f>_xlfn.XLOOKUP(B22,Table2[Channel Name],Table2[Interactions Concatenated],"",0,1)</f>
        <v>Sent;Received;Bounced;Opened;Clicked;Opt-Out;Responded</v>
      </c>
    </row>
    <row r="23" spans="2:11">
      <c r="B23" s="43" t="s">
        <v>1184</v>
      </c>
      <c r="C23" t="s">
        <v>1156</v>
      </c>
      <c r="D23" t="s">
        <v>1157</v>
      </c>
      <c r="E23" t="s">
        <v>1176</v>
      </c>
      <c r="G23" t="s">
        <v>1142</v>
      </c>
      <c r="H23" t="str">
        <f>_xlfn.XLOOKUP(B23,Table2[Channel Name],Table2[Interactions Concatenated],"",0,1)</f>
        <v>Called;Not Answered</v>
      </c>
      <c r="J23" t="s">
        <v>1177</v>
      </c>
      <c r="K23" s="48" t="s">
        <v>1169</v>
      </c>
    </row>
    <row r="24" spans="2:11">
      <c r="H24" s="15"/>
    </row>
  </sheetData>
  <autoFilter ref="A1:I23" xr:uid="{6B8D126A-E50F-4373-9159-5B9100CAC9A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F728D-8DC4-43CB-A2BE-8E22F440F4CC}">
  <dimension ref="A1:I23"/>
  <sheetViews>
    <sheetView workbookViewId="0">
      <selection activeCell="A21" sqref="A21"/>
    </sheetView>
  </sheetViews>
  <sheetFormatPr defaultRowHeight="14.45"/>
  <cols>
    <col min="1" max="1" width="24.85546875" bestFit="1" customWidth="1"/>
    <col min="2" max="2" width="61.85546875" bestFit="1" customWidth="1"/>
    <col min="3" max="3" width="21.140625" customWidth="1"/>
    <col min="4" max="4" width="11.5703125" bestFit="1" customWidth="1"/>
    <col min="5" max="5" width="15.5703125" bestFit="1" customWidth="1"/>
    <col min="6" max="6" width="11.85546875" bestFit="1" customWidth="1"/>
    <col min="7" max="9" width="11.5703125" bestFit="1" customWidth="1"/>
  </cols>
  <sheetData>
    <row r="1" spans="1:9">
      <c r="A1" s="36" t="s">
        <v>1185</v>
      </c>
      <c r="B1" s="42" t="s">
        <v>1186</v>
      </c>
      <c r="C1" s="33" t="s">
        <v>15</v>
      </c>
      <c r="D1" s="33" t="s">
        <v>143</v>
      </c>
      <c r="E1" s="33" t="s">
        <v>1187</v>
      </c>
      <c r="F1" s="33" t="s">
        <v>1188</v>
      </c>
      <c r="G1" s="33" t="s">
        <v>1189</v>
      </c>
      <c r="H1" s="33" t="s">
        <v>1190</v>
      </c>
      <c r="I1" s="34" t="s">
        <v>1191</v>
      </c>
    </row>
    <row r="2" spans="1:9">
      <c r="A2" s="40" t="s">
        <v>1151</v>
      </c>
      <c r="B2" s="37" t="str">
        <f t="shared" ref="B2:B23" si="0">_xlfn.TEXTJOIN(";",TRUE,C2:I2)</f>
        <v>Viewed</v>
      </c>
      <c r="C2" t="s">
        <v>1192</v>
      </c>
      <c r="I2" s="23"/>
    </row>
    <row r="3" spans="1:9">
      <c r="A3" s="40" t="s">
        <v>1174</v>
      </c>
      <c r="B3" s="38" t="str">
        <f t="shared" si="0"/>
        <v>Sent;Received;Clicked</v>
      </c>
      <c r="C3" t="s">
        <v>1193</v>
      </c>
      <c r="D3" t="s">
        <v>1194</v>
      </c>
      <c r="F3" t="s">
        <v>1195</v>
      </c>
      <c r="I3" s="23"/>
    </row>
    <row r="4" spans="1:9">
      <c r="A4" s="40" t="s">
        <v>1145</v>
      </c>
      <c r="B4" s="38" t="str">
        <f t="shared" si="0"/>
        <v>Viewed;Clicked;Submit Form</v>
      </c>
      <c r="C4" t="s">
        <v>1192</v>
      </c>
      <c r="D4" t="s">
        <v>1195</v>
      </c>
      <c r="E4" t="s">
        <v>1196</v>
      </c>
      <c r="I4" s="23"/>
    </row>
    <row r="5" spans="1:9">
      <c r="A5" s="40" t="s">
        <v>1164</v>
      </c>
      <c r="B5" s="38" t="str">
        <f t="shared" si="0"/>
        <v>Sent;Received;Bounced</v>
      </c>
      <c r="C5" t="s">
        <v>1193</v>
      </c>
      <c r="D5" t="s">
        <v>1194</v>
      </c>
      <c r="E5" t="s">
        <v>1197</v>
      </c>
      <c r="I5" s="23"/>
    </row>
    <row r="6" spans="1:9">
      <c r="A6" s="40" t="s">
        <v>1167</v>
      </c>
      <c r="B6" s="38" t="str">
        <f t="shared" si="0"/>
        <v>Sent;Received;Bounced;Opened;Clicked;Opt-Out;Responded</v>
      </c>
      <c r="C6" t="s">
        <v>1193</v>
      </c>
      <c r="D6" t="s">
        <v>1194</v>
      </c>
      <c r="E6" t="s">
        <v>1197</v>
      </c>
      <c r="F6" t="s">
        <v>1198</v>
      </c>
      <c r="G6" t="s">
        <v>1195</v>
      </c>
      <c r="H6" t="s">
        <v>1199</v>
      </c>
      <c r="I6" s="23" t="s">
        <v>1200</v>
      </c>
    </row>
    <row r="7" spans="1:9">
      <c r="A7" s="40" t="s">
        <v>1162</v>
      </c>
      <c r="B7" s="38" t="str">
        <f t="shared" si="0"/>
        <v>Registered;Attended</v>
      </c>
      <c r="C7" t="s">
        <v>1201</v>
      </c>
      <c r="D7" t="s">
        <v>1202</v>
      </c>
      <c r="I7" s="23"/>
    </row>
    <row r="8" spans="1:9">
      <c r="A8" s="40" t="s">
        <v>1184</v>
      </c>
      <c r="B8" s="38" t="str">
        <f t="shared" si="0"/>
        <v>Called;Not Answered</v>
      </c>
      <c r="C8" t="s">
        <v>1203</v>
      </c>
      <c r="D8" t="s">
        <v>1204</v>
      </c>
      <c r="I8" s="23"/>
    </row>
    <row r="9" spans="1:9">
      <c r="A9" s="40" t="s">
        <v>1173</v>
      </c>
      <c r="B9" s="38" t="str">
        <f t="shared" si="0"/>
        <v>Sent;Received;Bounced;Clicked;Responsed;Opt-Out</v>
      </c>
      <c r="C9" t="s">
        <v>1193</v>
      </c>
      <c r="D9" t="s">
        <v>1194</v>
      </c>
      <c r="E9" t="s">
        <v>1197</v>
      </c>
      <c r="F9" t="s">
        <v>1195</v>
      </c>
      <c r="G9" t="s">
        <v>1205</v>
      </c>
      <c r="H9" t="s">
        <v>1199</v>
      </c>
      <c r="I9" s="23"/>
    </row>
    <row r="10" spans="1:9">
      <c r="A10" s="40" t="s">
        <v>1178</v>
      </c>
      <c r="B10" s="38" t="str">
        <f t="shared" si="0"/>
        <v>Initiated;Answered;Disconnected</v>
      </c>
      <c r="C10" t="s">
        <v>1206</v>
      </c>
      <c r="D10" t="s">
        <v>1207</v>
      </c>
      <c r="E10" t="s">
        <v>1208</v>
      </c>
      <c r="I10" s="23"/>
    </row>
    <row r="11" spans="1:9">
      <c r="A11" s="40" t="s">
        <v>1139</v>
      </c>
      <c r="B11" s="38" t="str">
        <f t="shared" si="0"/>
        <v>Viewed;Clicked;Submit Form</v>
      </c>
      <c r="C11" t="s">
        <v>1192</v>
      </c>
      <c r="D11" t="s">
        <v>1195</v>
      </c>
      <c r="E11" t="s">
        <v>1196</v>
      </c>
      <c r="I11" s="23"/>
    </row>
    <row r="12" spans="1:9">
      <c r="A12" s="40" t="s">
        <v>1166</v>
      </c>
      <c r="B12" s="38" t="str">
        <f t="shared" si="0"/>
        <v>Sent;Received;Read;Clicked;Responded;Opt-Out;Opened</v>
      </c>
      <c r="C12" t="s">
        <v>1193</v>
      </c>
      <c r="D12" t="s">
        <v>1194</v>
      </c>
      <c r="E12" t="s">
        <v>1209</v>
      </c>
      <c r="F12" t="s">
        <v>1195</v>
      </c>
      <c r="G12" t="s">
        <v>1200</v>
      </c>
      <c r="H12" t="s">
        <v>1199</v>
      </c>
      <c r="I12" s="23" t="s">
        <v>1198</v>
      </c>
    </row>
    <row r="13" spans="1:9">
      <c r="A13" s="40" t="s">
        <v>1182</v>
      </c>
      <c r="B13" s="38" t="str">
        <f t="shared" si="0"/>
        <v>Dialled;Answered;Engaged</v>
      </c>
      <c r="C13" t="s">
        <v>1210</v>
      </c>
      <c r="D13" t="s">
        <v>1207</v>
      </c>
      <c r="E13" t="s">
        <v>1211</v>
      </c>
      <c r="I13" s="23"/>
    </row>
    <row r="14" spans="1:9">
      <c r="A14" s="40" t="s">
        <v>1183</v>
      </c>
      <c r="B14" s="38" t="str">
        <f t="shared" si="0"/>
        <v>Sent;Received;Bounced;Opened;Clicked;Opt-Out;Responded</v>
      </c>
      <c r="C14" t="s">
        <v>1193</v>
      </c>
      <c r="D14" t="s">
        <v>1194</v>
      </c>
      <c r="E14" t="s">
        <v>1197</v>
      </c>
      <c r="F14" t="s">
        <v>1198</v>
      </c>
      <c r="G14" t="s">
        <v>1195</v>
      </c>
      <c r="H14" t="s">
        <v>1199</v>
      </c>
      <c r="I14" s="23" t="s">
        <v>1200</v>
      </c>
    </row>
    <row r="15" spans="1:9">
      <c r="A15" s="40" t="s">
        <v>1180</v>
      </c>
      <c r="B15" s="38" t="str">
        <f t="shared" si="0"/>
        <v>Invited;Attended</v>
      </c>
      <c r="C15" t="s">
        <v>1212</v>
      </c>
      <c r="D15" t="s">
        <v>1202</v>
      </c>
      <c r="I15" s="23"/>
    </row>
    <row r="16" spans="1:9">
      <c r="A16" s="40" t="s">
        <v>1170</v>
      </c>
      <c r="B16" s="38" t="str">
        <f t="shared" si="0"/>
        <v>Sent;Received;Bounced;Clicked;Responsed;Opt-Out</v>
      </c>
      <c r="C16" t="s">
        <v>1193</v>
      </c>
      <c r="D16" t="s">
        <v>1194</v>
      </c>
      <c r="E16" t="s">
        <v>1197</v>
      </c>
      <c r="F16" t="s">
        <v>1195</v>
      </c>
      <c r="G16" t="s">
        <v>1205</v>
      </c>
      <c r="H16" t="s">
        <v>1199</v>
      </c>
      <c r="I16" s="23"/>
    </row>
    <row r="17" spans="1:9">
      <c r="A17" s="40" t="s">
        <v>1155</v>
      </c>
      <c r="B17" s="38" t="str">
        <f t="shared" si="0"/>
        <v>Viewed;Clicked;Responded;Opt-Out</v>
      </c>
      <c r="C17" t="s">
        <v>1192</v>
      </c>
      <c r="D17" t="s">
        <v>1195</v>
      </c>
      <c r="E17" t="s">
        <v>1200</v>
      </c>
      <c r="F17" t="s">
        <v>1199</v>
      </c>
      <c r="I17" s="23"/>
    </row>
    <row r="18" spans="1:9">
      <c r="A18" s="40" t="s">
        <v>1154</v>
      </c>
      <c r="B18" s="38" t="str">
        <f t="shared" si="0"/>
        <v>Viewed;Clicked;Responded</v>
      </c>
      <c r="C18" t="s">
        <v>1192</v>
      </c>
      <c r="D18" t="s">
        <v>1195</v>
      </c>
      <c r="E18" t="s">
        <v>1200</v>
      </c>
      <c r="I18" s="23"/>
    </row>
    <row r="19" spans="1:9">
      <c r="A19" s="40" t="s">
        <v>1175</v>
      </c>
      <c r="B19" s="38" t="str">
        <f t="shared" si="0"/>
        <v>Attempted;Answered;Conversed</v>
      </c>
      <c r="C19" t="s">
        <v>1213</v>
      </c>
      <c r="D19" t="s">
        <v>1207</v>
      </c>
      <c r="E19" t="s">
        <v>1214</v>
      </c>
      <c r="I19" s="23"/>
    </row>
    <row r="20" spans="1:9">
      <c r="A20" s="40" t="s">
        <v>1159</v>
      </c>
      <c r="B20" s="38" t="str">
        <f t="shared" si="0"/>
        <v>Registered;Attended;View on Demand</v>
      </c>
      <c r="C20" t="s">
        <v>1201</v>
      </c>
      <c r="D20" t="s">
        <v>1202</v>
      </c>
      <c r="E20" t="s">
        <v>1215</v>
      </c>
      <c r="I20" s="23"/>
    </row>
    <row r="21" spans="1:9">
      <c r="A21" s="41" t="s">
        <v>1147</v>
      </c>
      <c r="B21" s="39" t="str">
        <f t="shared" si="0"/>
        <v>Page View;Link Click;Submit Form;Watch Video;Download;Live Chat?</v>
      </c>
      <c r="C21" s="24" t="s">
        <v>1216</v>
      </c>
      <c r="D21" s="24" t="s">
        <v>1217</v>
      </c>
      <c r="E21" s="24" t="s">
        <v>1196</v>
      </c>
      <c r="F21" s="24" t="s">
        <v>1218</v>
      </c>
      <c r="G21" s="24" t="s">
        <v>1219</v>
      </c>
      <c r="H21" s="24" t="s">
        <v>1220</v>
      </c>
      <c r="I21" s="25"/>
    </row>
    <row r="22" spans="1:9">
      <c r="A22" s="40" t="s">
        <v>1163</v>
      </c>
      <c r="B22" s="38" t="str">
        <f t="shared" si="0"/>
        <v>Registered;Attended;View on Demand</v>
      </c>
      <c r="C22" t="s">
        <v>1201</v>
      </c>
      <c r="D22" t="s">
        <v>1202</v>
      </c>
      <c r="E22" t="s">
        <v>1215</v>
      </c>
      <c r="I22" s="23"/>
    </row>
    <row r="23" spans="1:9">
      <c r="A23" s="40" t="s">
        <v>1165</v>
      </c>
      <c r="B23" s="38" t="str">
        <f t="shared" si="0"/>
        <v>Sent;Received;Read;Clicked;Responded;Opt-Out</v>
      </c>
      <c r="C23" t="s">
        <v>1193</v>
      </c>
      <c r="D23" t="s">
        <v>1194</v>
      </c>
      <c r="E23" t="s">
        <v>1209</v>
      </c>
      <c r="F23" t="s">
        <v>1195</v>
      </c>
      <c r="G23" t="s">
        <v>1200</v>
      </c>
      <c r="H23" t="s">
        <v>1199</v>
      </c>
      <c r="I23" s="23"/>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7019f60-298e-442e-b6f6-687001478962">
      <Terms xmlns="http://schemas.microsoft.com/office/infopath/2007/PartnerControls"/>
    </lcf76f155ced4ddcb4097134ff3c332f>
    <TaxCatchAll xmlns="244a3a2d-c3b8-4eaa-9334-4c3b8cbc7cc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1F78A46A5B61544A3F5E5F9D558353B" ma:contentTypeVersion="14" ma:contentTypeDescription="Create a new document." ma:contentTypeScope="" ma:versionID="4ff0ff83b515247abfb572dd16318bd5">
  <xsd:schema xmlns:xsd="http://www.w3.org/2001/XMLSchema" xmlns:xs="http://www.w3.org/2001/XMLSchema" xmlns:p="http://schemas.microsoft.com/office/2006/metadata/properties" xmlns:ns2="a7019f60-298e-442e-b6f6-687001478962" xmlns:ns3="244a3a2d-c3b8-4eaa-9334-4c3b8cbc7cc9" targetNamespace="http://schemas.microsoft.com/office/2006/metadata/properties" ma:root="true" ma:fieldsID="b06d8c87949a1717b3fd7aad6ad45ca0" ns2:_="" ns3:_="">
    <xsd:import namespace="a7019f60-298e-442e-b6f6-687001478962"/>
    <xsd:import namespace="244a3a2d-c3b8-4eaa-9334-4c3b8cbc7cc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GenerationTime" minOccurs="0"/>
                <xsd:element ref="ns2:MediaServiceEventHashCode"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019f60-298e-442e-b6f6-6870014789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531deeb-2674-43eb-80e4-de4fbf68bfe3"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44a3a2d-c3b8-4eaa-9334-4c3b8cbc7cc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67675455-19f1-4c78-9120-33e9e143a05a}" ma:internalName="TaxCatchAll" ma:showField="CatchAllData" ma:web="244a3a2d-c3b8-4eaa-9334-4c3b8cbc7c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1D98BA-C602-41F7-9CF6-ADC2B2B0572D}"/>
</file>

<file path=customXml/itemProps2.xml><?xml version="1.0" encoding="utf-8"?>
<ds:datastoreItem xmlns:ds="http://schemas.openxmlformats.org/officeDocument/2006/customXml" ds:itemID="{9E659A7B-33E6-4D8A-9E68-C08227886A25}"/>
</file>

<file path=customXml/itemProps3.xml><?xml version="1.0" encoding="utf-8"?>
<ds:datastoreItem xmlns:ds="http://schemas.openxmlformats.org/officeDocument/2006/customXml" ds:itemID="{51BB428E-D1CA-47E8-B784-F33B49A13D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Irvine</dc:creator>
  <cp:keywords/>
  <dc:description/>
  <cp:lastModifiedBy/>
  <cp:revision/>
  <dcterms:created xsi:type="dcterms:W3CDTF">2025-02-10T20:27:01Z</dcterms:created>
  <dcterms:modified xsi:type="dcterms:W3CDTF">2025-11-13T21:03:12Z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0x010100D1F78A46A5B61544A3F5E5F9D558353B</vt:lpwstr>
  </property>
  <property fmtid="{D5CDD505-2E9C-101B-9397-08002B2CF9AE}" pid="4" name="MSIP_Label_55818d02-8d25-4bb9-b27c-e4db64670887_Enabled">
    <vt:lpwstr>true</vt:lpwstr>
  </property>
  <property fmtid="{D5CDD505-2E9C-101B-9397-08002B2CF9AE}" pid="5" name="MSIP_Label_55818d02-8d25-4bb9-b27c-e4db64670887_SetDate">
    <vt:lpwstr>2025-06-11T07:07:58Z</vt:lpwstr>
  </property>
  <property fmtid="{D5CDD505-2E9C-101B-9397-08002B2CF9AE}" pid="6" name="MSIP_Label_55818d02-8d25-4bb9-b27c-e4db64670887_Method">
    <vt:lpwstr>Standard</vt:lpwstr>
  </property>
  <property fmtid="{D5CDD505-2E9C-101B-9397-08002B2CF9AE}" pid="7" name="MSIP_Label_55818d02-8d25-4bb9-b27c-e4db64670887_Name">
    <vt:lpwstr>55818d02-8d25-4bb9-b27c-e4db64670887</vt:lpwstr>
  </property>
  <property fmtid="{D5CDD505-2E9C-101B-9397-08002B2CF9AE}" pid="8" name="MSIP_Label_55818d02-8d25-4bb9-b27c-e4db64670887_SiteId">
    <vt:lpwstr>a7f35688-9c00-4d5e-ba41-29f146377ab0</vt:lpwstr>
  </property>
  <property fmtid="{D5CDD505-2E9C-101B-9397-08002B2CF9AE}" pid="9" name="MSIP_Label_55818d02-8d25-4bb9-b27c-e4db64670887_ActionId">
    <vt:lpwstr>723af25a-0ced-48c6-8494-35d88b3862ec</vt:lpwstr>
  </property>
  <property fmtid="{D5CDD505-2E9C-101B-9397-08002B2CF9AE}" pid="10" name="MSIP_Label_55818d02-8d25-4bb9-b27c-e4db64670887_ContentBits">
    <vt:lpwstr>0</vt:lpwstr>
  </property>
  <property fmtid="{D5CDD505-2E9C-101B-9397-08002B2CF9AE}" pid="11" name="MSIP_Label_55818d02-8d25-4bb9-b27c-e4db64670887_Tag">
    <vt:lpwstr>10, 3, 0, 2</vt:lpwstr>
  </property>
</Properties>
</file>